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7364AB996F90C0/Documents/"/>
    </mc:Choice>
  </mc:AlternateContent>
  <xr:revisionPtr revIDLastSave="138" documentId="8_{76F7C381-2D25-4E09-A9DF-6294A801376D}" xr6:coauthVersionLast="47" xr6:coauthVersionMax="47" xr10:uidLastSave="{B1D94C7D-611D-48C7-9C07-B8195CBADAD6}"/>
  <bookViews>
    <workbookView xWindow="-96" yWindow="-96" windowWidth="23232" windowHeight="12432" xr2:uid="{EF260CDE-01F7-41D4-B672-F31373A24BC8}"/>
  </bookViews>
  <sheets>
    <sheet name="Whiff % vs OPS" sheetId="1" r:id="rId1"/>
    <sheet name="New Stat" sheetId="2" r:id="rId2"/>
  </sheets>
  <definedNames>
    <definedName name="_xlchart.v1.0" hidden="1">'Whiff % vs OPS'!$B$2:$B$145</definedName>
    <definedName name="_xlchart.v1.1" hidden="1">'Whiff % vs OPS'!$C$1</definedName>
    <definedName name="_xlchart.v1.2" hidden="1">'Whiff % vs OPS'!$C$2:$C$145</definedName>
  </definedNames>
  <calcPr calcId="0"/>
</workbook>
</file>

<file path=xl/calcChain.xml><?xml version="1.0" encoding="utf-8"?>
<calcChain xmlns="http://schemas.openxmlformats.org/spreadsheetml/2006/main">
  <c r="AB52" i="1" l="1"/>
  <c r="AB53" i="1"/>
  <c r="AB54" i="1"/>
  <c r="AB55" i="1"/>
  <c r="AB56" i="1"/>
  <c r="AB57" i="1"/>
  <c r="AB58" i="1"/>
  <c r="AB59" i="1"/>
  <c r="AB60" i="1"/>
  <c r="AB61" i="1"/>
  <c r="AB48" i="1"/>
  <c r="AB47" i="1"/>
  <c r="AB46" i="1"/>
  <c r="AB45" i="1"/>
  <c r="AB44" i="1"/>
  <c r="AB43" i="1"/>
  <c r="AB42" i="1"/>
  <c r="AB41" i="1"/>
  <c r="AB40" i="1"/>
  <c r="AB39" i="1"/>
  <c r="E5" i="1"/>
  <c r="E104" i="1"/>
  <c r="E28" i="1"/>
  <c r="E41" i="1"/>
  <c r="E105" i="1"/>
  <c r="E26" i="1"/>
  <c r="E55" i="1"/>
  <c r="E27" i="1"/>
  <c r="E97" i="1"/>
  <c r="E8" i="1"/>
  <c r="E99" i="1"/>
  <c r="E32" i="1"/>
  <c r="E91" i="1"/>
  <c r="E87" i="1"/>
  <c r="E135" i="1"/>
  <c r="E11" i="1"/>
  <c r="E143" i="1"/>
  <c r="E101" i="1"/>
  <c r="E22" i="1"/>
  <c r="E19" i="1"/>
  <c r="E60" i="1"/>
  <c r="E21" i="1"/>
  <c r="E46" i="1"/>
  <c r="E47" i="1"/>
  <c r="E90" i="1"/>
  <c r="E82" i="1"/>
  <c r="E94" i="1"/>
  <c r="E68" i="1"/>
  <c r="E122" i="1"/>
  <c r="E30" i="1"/>
  <c r="E83" i="1"/>
  <c r="E75" i="1"/>
  <c r="E34" i="1"/>
  <c r="E131" i="1"/>
  <c r="E114" i="1"/>
  <c r="E16" i="1"/>
  <c r="E33" i="1"/>
  <c r="E127" i="1"/>
  <c r="E59" i="1"/>
  <c r="E24" i="1"/>
  <c r="E50" i="1"/>
  <c r="E132" i="1"/>
  <c r="E100" i="1"/>
  <c r="E18" i="1"/>
  <c r="E12" i="1"/>
  <c r="E121" i="1"/>
  <c r="E145" i="1"/>
  <c r="E35" i="1"/>
  <c r="E65" i="1"/>
  <c r="E118" i="1"/>
  <c r="E113" i="1"/>
  <c r="E31" i="1"/>
  <c r="E109" i="1"/>
  <c r="E110" i="1"/>
  <c r="E69" i="1"/>
  <c r="E72" i="1"/>
  <c r="E117" i="1"/>
  <c r="E79" i="1"/>
  <c r="E88" i="1"/>
  <c r="E10" i="1"/>
  <c r="E58" i="1"/>
  <c r="E103" i="1"/>
  <c r="E67" i="1"/>
  <c r="E38" i="1"/>
  <c r="E124" i="1"/>
  <c r="E4" i="1"/>
  <c r="E93" i="1"/>
  <c r="E17" i="1"/>
  <c r="E115" i="1"/>
  <c r="E84" i="1"/>
  <c r="E76" i="1"/>
  <c r="E141" i="1"/>
  <c r="E48" i="1"/>
  <c r="E13" i="1"/>
  <c r="E106" i="1"/>
  <c r="E102" i="1"/>
  <c r="E64" i="1"/>
  <c r="E129" i="1"/>
  <c r="E126" i="1"/>
  <c r="E120" i="1"/>
  <c r="E85" i="1"/>
  <c r="E29" i="1"/>
  <c r="E56" i="1"/>
  <c r="E111" i="1"/>
  <c r="E14" i="1"/>
  <c r="E112" i="1"/>
  <c r="E44" i="1"/>
  <c r="E49" i="1"/>
  <c r="E140" i="1"/>
  <c r="E61" i="1"/>
  <c r="E142" i="1"/>
  <c r="E40" i="1"/>
  <c r="E78" i="1"/>
  <c r="E81" i="1"/>
  <c r="E134" i="1"/>
  <c r="E130" i="1"/>
  <c r="E3" i="1"/>
  <c r="E116" i="1"/>
  <c r="E57" i="1"/>
  <c r="E7" i="1"/>
  <c r="E73" i="1"/>
  <c r="E86" i="1"/>
  <c r="E125" i="1"/>
  <c r="E128" i="1"/>
  <c r="E39" i="1"/>
  <c r="E144" i="1"/>
  <c r="E6" i="1"/>
  <c r="E89" i="1"/>
  <c r="E54" i="1"/>
  <c r="E51" i="1"/>
  <c r="E77" i="1"/>
  <c r="E107" i="1"/>
  <c r="E96" i="1"/>
  <c r="E62" i="1"/>
  <c r="E74" i="1"/>
  <c r="E25" i="1"/>
  <c r="E43" i="1"/>
  <c r="E133" i="1"/>
  <c r="E20" i="1"/>
  <c r="E37" i="1"/>
  <c r="E71" i="1"/>
  <c r="E63" i="1"/>
  <c r="E70" i="1"/>
  <c r="E9" i="1"/>
  <c r="E108" i="1"/>
  <c r="E136" i="1"/>
  <c r="E138" i="1"/>
  <c r="E119" i="1"/>
  <c r="E15" i="1"/>
  <c r="E98" i="1"/>
  <c r="E92" i="1"/>
  <c r="E80" i="1"/>
  <c r="E95" i="1"/>
  <c r="E23" i="1"/>
  <c r="E139" i="1"/>
  <c r="E36" i="1"/>
  <c r="E123" i="1"/>
  <c r="E53" i="1"/>
  <c r="E2" i="1"/>
  <c r="E42" i="1"/>
  <c r="E45" i="1"/>
  <c r="E137" i="1"/>
  <c r="E66" i="1"/>
  <c r="E52" i="1"/>
</calcChain>
</file>

<file path=xl/sharedStrings.xml><?xml version="1.0" encoding="utf-8"?>
<sst xmlns="http://schemas.openxmlformats.org/spreadsheetml/2006/main" count="203" uniqueCount="178">
  <si>
    <t>Greene, Riley</t>
  </si>
  <si>
    <t>Sosa, Lenyn</t>
  </si>
  <si>
    <t>Bogaerts, Xander</t>
  </si>
  <si>
    <t>Peña, Jeremy</t>
  </si>
  <si>
    <t>Ohtani, Shohei</t>
  </si>
  <si>
    <t>Manzardo, Kyle</t>
  </si>
  <si>
    <t>Ozuna, Marcell</t>
  </si>
  <si>
    <t>Castellanos, Nick</t>
  </si>
  <si>
    <t>Ward, Taylor</t>
  </si>
  <si>
    <t>Devers, Rafael</t>
  </si>
  <si>
    <t>Story, Trevor</t>
  </si>
  <si>
    <t>Grisham, Trent</t>
  </si>
  <si>
    <t>Abrams, CJ</t>
  </si>
  <si>
    <t>Durbin, Caleb</t>
  </si>
  <si>
    <t>Frelick, Sal</t>
  </si>
  <si>
    <t>Wagaman, Eric</t>
  </si>
  <si>
    <t>Jung, Josh</t>
  </si>
  <si>
    <t>Albies, Ozzie</t>
  </si>
  <si>
    <t>Ramírez, Agustín</t>
  </si>
  <si>
    <t>Contreras, William</t>
  </si>
  <si>
    <t>Duran, Jarren</t>
  </si>
  <si>
    <t>Ramírez, José</t>
  </si>
  <si>
    <t>Chourio, Jackson</t>
  </si>
  <si>
    <t>Gurriel Jr., Lourdes</t>
  </si>
  <si>
    <t>Clement, Ernie</t>
  </si>
  <si>
    <t>Pasquantino, Vinnie</t>
  </si>
  <si>
    <t>Arozarena, Randy</t>
  </si>
  <si>
    <t>Perdomo, Geraldo</t>
  </si>
  <si>
    <t>Cronenworth, Jake</t>
  </si>
  <si>
    <t>O'Hearn, Ryan</t>
  </si>
  <si>
    <t>Naylor, Josh</t>
  </si>
  <si>
    <t>Vargas, Miguel</t>
  </si>
  <si>
    <t>Bell, Josh</t>
  </si>
  <si>
    <t>Wood, James</t>
  </si>
  <si>
    <t>Polanco, Jorge</t>
  </si>
  <si>
    <t>Carroll, Corbin</t>
  </si>
  <si>
    <t>Butler, Lawrence</t>
  </si>
  <si>
    <t>Henderson, Gunnar</t>
  </si>
  <si>
    <t>Caminero, Junior</t>
  </si>
  <si>
    <t>Friedl Jr., TJ</t>
  </si>
  <si>
    <t>García, Adolis</t>
  </si>
  <si>
    <t>Nootbaar, Lars</t>
  </si>
  <si>
    <t>McCutchen, Andrew</t>
  </si>
  <si>
    <t>Ortiz, Joey</t>
  </si>
  <si>
    <t>Kwan, Steven</t>
  </si>
  <si>
    <t>Steer, Spencer</t>
  </si>
  <si>
    <t>Correa, Carlos</t>
  </si>
  <si>
    <t>McKinstry, Zach</t>
  </si>
  <si>
    <t>Lopez, Otto</t>
  </si>
  <si>
    <t>Cruz, Oneil</t>
  </si>
  <si>
    <t>Trout, Mike</t>
  </si>
  <si>
    <t>Schwarber, Kyle</t>
  </si>
  <si>
    <t>Bohm, Alec</t>
  </si>
  <si>
    <t>Crow-Armstrong, Pete</t>
  </si>
  <si>
    <t>Swanson, Dansby</t>
  </si>
  <si>
    <t>Hayes, Ke'Bryan</t>
  </si>
  <si>
    <t>Chapman, Matt</t>
  </si>
  <si>
    <t>Goldschmidt, Paul</t>
  </si>
  <si>
    <t>Tucker, Kyle</t>
  </si>
  <si>
    <t>Perez, Salvador</t>
  </si>
  <si>
    <t>Busch, Michael</t>
  </si>
  <si>
    <t>Bellinger, Cody</t>
  </si>
  <si>
    <t>Springer III, George</t>
  </si>
  <si>
    <t>Yelich, Christian</t>
  </si>
  <si>
    <t>De La Cruz, Elly</t>
  </si>
  <si>
    <t>Judge, Aaron</t>
  </si>
  <si>
    <t>Soderstrom, Tyler</t>
  </si>
  <si>
    <t>Schanuel, Nolan</t>
  </si>
  <si>
    <t>Crawford, J.P.</t>
  </si>
  <si>
    <t>Reynolds, Bryan</t>
  </si>
  <si>
    <t>Rice, Ben</t>
  </si>
  <si>
    <t>Langeliers, Shea</t>
  </si>
  <si>
    <t>Lee, Brooks</t>
  </si>
  <si>
    <t>Smith, Josh</t>
  </si>
  <si>
    <t>Machado, Manny</t>
  </si>
  <si>
    <t>Neto, Zach</t>
  </si>
  <si>
    <t>Beck, Jordan</t>
  </si>
  <si>
    <t>Harris II, Michael</t>
  </si>
  <si>
    <t>Raleigh, Cal</t>
  </si>
  <si>
    <t>Kirk, Alejandro</t>
  </si>
  <si>
    <t>Díaz, Yandy</t>
  </si>
  <si>
    <t>Stott, Bryson</t>
  </si>
  <si>
    <t>Adell, Jo</t>
  </si>
  <si>
    <t>Olson, Matt</t>
  </si>
  <si>
    <t>Burleson, Alec</t>
  </si>
  <si>
    <t>Semien, Marcus</t>
  </si>
  <si>
    <t>McLain, Matt</t>
  </si>
  <si>
    <t>Lowe, Brandon</t>
  </si>
  <si>
    <t>Winn, Masyn</t>
  </si>
  <si>
    <t>García, Luis</t>
  </si>
  <si>
    <t>Betts, Mookie</t>
  </si>
  <si>
    <t>Ramos, Heliot</t>
  </si>
  <si>
    <t>Rafaela, Ceddanne</t>
  </si>
  <si>
    <t>India, Jonathan</t>
  </si>
  <si>
    <t>Torkelson, Spencer</t>
  </si>
  <si>
    <t>Suzuki, Seiya</t>
  </si>
  <si>
    <t>Soto, Juan</t>
  </si>
  <si>
    <t>McMahon, Ryan</t>
  </si>
  <si>
    <t>Contreras, Willson</t>
  </si>
  <si>
    <t>Happ, Ian</t>
  </si>
  <si>
    <t>Rodríguez, Julio</t>
  </si>
  <si>
    <t>Bichette, Bo</t>
  </si>
  <si>
    <t>Rooker Jr., Brent</t>
  </si>
  <si>
    <t>Freeman, Freddie</t>
  </si>
  <si>
    <t>Garcia, Maikel</t>
  </si>
  <si>
    <t>Wilson Jr., Jacob</t>
  </si>
  <si>
    <t>Hernández, Teoscar</t>
  </si>
  <si>
    <t>Witt Jr., Bobby</t>
  </si>
  <si>
    <t>Doyle, Brenton</t>
  </si>
  <si>
    <t>Lux, Gavin</t>
  </si>
  <si>
    <t>Marte, Ketel</t>
  </si>
  <si>
    <t>Turner, Trea</t>
  </si>
  <si>
    <t>Torres, Gleyber</t>
  </si>
  <si>
    <t>Adames, Willy</t>
  </si>
  <si>
    <t>Sheets, Gavin</t>
  </si>
  <si>
    <t>Harper, Bryce</t>
  </si>
  <si>
    <t>Altuve, Jose</t>
  </si>
  <si>
    <t>Lee, Jung Hoo</t>
  </si>
  <si>
    <t>Meidroth, Chase</t>
  </si>
  <si>
    <t>Suárez, Eugenio</t>
  </si>
  <si>
    <t>Tatis Jr., Fernando</t>
  </si>
  <si>
    <t>Donovan, Brendan</t>
  </si>
  <si>
    <t>Yastrzemski, Mike</t>
  </si>
  <si>
    <t>Alonso, Pete</t>
  </si>
  <si>
    <t>Nimmo, Brandon</t>
  </si>
  <si>
    <t>Guerrero Jr., Vladimir</t>
  </si>
  <si>
    <t>Goodman, Hunter</t>
  </si>
  <si>
    <t>Lowe, Nathaniel</t>
  </si>
  <si>
    <t>Realmuto, J.T.</t>
  </si>
  <si>
    <t>Pages, Andy</t>
  </si>
  <si>
    <t>Hoerner, Nico</t>
  </si>
  <si>
    <t>Lindor, Francisco</t>
  </si>
  <si>
    <t>Chisholm Jr., Jazz</t>
  </si>
  <si>
    <t>Edwards, Xavier</t>
  </si>
  <si>
    <t>Turang, Brice</t>
  </si>
  <si>
    <t>Buxton, Byron</t>
  </si>
  <si>
    <t>Diaz, Yainer</t>
  </si>
  <si>
    <t>Larnach, Trevor</t>
  </si>
  <si>
    <t>Holliday, Jackson</t>
  </si>
  <si>
    <t>Langford, Wyatt</t>
  </si>
  <si>
    <t>Arraez, Luis</t>
  </si>
  <si>
    <t>Rengifo, Luis</t>
  </si>
  <si>
    <t>Volpe, Anthony</t>
  </si>
  <si>
    <t>Walker, Christian</t>
  </si>
  <si>
    <t>Label</t>
  </si>
  <si>
    <t>Judge</t>
  </si>
  <si>
    <t>Ohtani</t>
  </si>
  <si>
    <t>Arraez</t>
  </si>
  <si>
    <t>Wilson</t>
  </si>
  <si>
    <t>Doyle</t>
  </si>
  <si>
    <t>Marte</t>
  </si>
  <si>
    <t>Meidroth</t>
  </si>
  <si>
    <t>McMahon</t>
  </si>
  <si>
    <t>Hayes</t>
  </si>
  <si>
    <t>Perdomo</t>
  </si>
  <si>
    <t>Ortiz</t>
  </si>
  <si>
    <t>Kwan</t>
  </si>
  <si>
    <t>Cruz</t>
  </si>
  <si>
    <t>Trout</t>
  </si>
  <si>
    <t>Schwarber</t>
  </si>
  <si>
    <t>De La Cruz</t>
  </si>
  <si>
    <t>Springer</t>
  </si>
  <si>
    <t>Raleigh</t>
  </si>
  <si>
    <t>McLain</t>
  </si>
  <si>
    <t>Soto</t>
  </si>
  <si>
    <t>Ramirez</t>
  </si>
  <si>
    <t>Hoerner</t>
  </si>
  <si>
    <t>Edwards</t>
  </si>
  <si>
    <t>Buxton</t>
  </si>
  <si>
    <t>Rengifo</t>
  </si>
  <si>
    <t>Witt Jr</t>
  </si>
  <si>
    <t>Last_Name, First_Name</t>
  </si>
  <si>
    <t>OPS</t>
  </si>
  <si>
    <t>Whiff %</t>
  </si>
  <si>
    <t>Whiff Efficiency</t>
  </si>
  <si>
    <t>Top 10 in WE</t>
  </si>
  <si>
    <t>Bottom 10 in WE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</si>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</sst>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8" fontId="0" fillId="0" borderId="0" xfId="0" applyNumberFormat="1"/>
    <xf numFmtId="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Whiff</a:t>
            </a:r>
            <a:r>
              <a:rPr lang="en-US" baseline="0"/>
              <a:t> % vs OPS - 2025 MLB Qualified Batters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'Whiff % vs OPS'!$C$1</c:f>
              <c:strCache>
                <c:ptCount val="1"/>
                <c:pt idx="0">
                  <c:v>Whiff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0E2761D-1176-49DA-9E41-D309074BC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1D-4E1C-91F4-E2BD83A02B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92F649-FFE1-43A0-80B4-7FFD52B3D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11D-4E1C-91F4-E2BD83A02B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341BAD-39EC-4C87-A3F7-852A29D4A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11D-4E1C-91F4-E2BD83A02B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40FF19-B801-438C-B148-F67660635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11D-4E1C-91F4-E2BD83A02BC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F9C8B7-42DF-477B-9E5D-C64BAC59D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11D-4E1C-91F4-E2BD83A02BC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C6B372-87A5-4C2C-A1A8-05A041C37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11D-4E1C-91F4-E2BD83A02BC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292FA6-1F52-418C-AF17-602F61FC2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11D-4E1C-91F4-E2BD83A02BC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09E0B5-EB67-40A6-A42B-ED00B7AE0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11D-4E1C-91F4-E2BD83A02BC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9E31F21-11BE-492A-AF5F-A3003D928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11D-4E1C-91F4-E2BD83A02BC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95BECC-F05B-4B09-8396-B47BBC88B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11D-4E1C-91F4-E2BD83A02BC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86302B3-97BC-46C7-976C-1DC06420FD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11D-4E1C-91F4-E2BD83A02BC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834FF09-6FF3-4581-BBDA-21BCEE065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11D-4E1C-91F4-E2BD83A02BC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59DC153-0BC6-4418-A1DC-B03840DD4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11D-4E1C-91F4-E2BD83A02BC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8CCC30C-1F74-4D89-B2B8-E6B4915540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11D-4E1C-91F4-E2BD83A02BC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8425FCD-2DC4-4A5F-8960-F2216B241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11D-4E1C-91F4-E2BD83A02BC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CE424E6-438E-4C35-824E-8EF12C4346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11D-4E1C-91F4-E2BD83A02BC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3EE50AD-A555-4BDE-845A-10B8AC916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11D-4E1C-91F4-E2BD83A02BC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904F7A8-EBD3-4E39-B186-7A5D78473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11D-4E1C-91F4-E2BD83A02BC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8DD5B03-F743-46F5-B364-AFD062636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11D-4E1C-91F4-E2BD83A02BC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08F3277-9E06-4DB6-AB87-EBE827F58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11D-4E1C-91F4-E2BD83A02BC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44A1EBA-9193-4108-9EE3-685CBD1E4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11D-4E1C-91F4-E2BD83A02BC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EAD33D-F632-49BB-AAD5-E79AD5214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11D-4E1C-91F4-E2BD83A02BC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921779D-D150-41C5-8F1D-4675C32A8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11D-4E1C-91F4-E2BD83A02BC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151BA5-89B1-4CC6-AD50-58EEEAF5A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11D-4E1C-91F4-E2BD83A02BC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40522EF-1CD0-4F34-B599-3CA2EFDB0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11D-4E1C-91F4-E2BD83A02BC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0EAF6BF-3C61-4EB6-9CA4-D8B605FCFD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11D-4E1C-91F4-E2BD83A02BC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0F967AD-367F-47FE-AB7D-D5F663BEF0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11D-4E1C-91F4-E2BD83A02BC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7C4E6CD-C5A0-4FDC-971D-B35B5B7B7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11D-4E1C-91F4-E2BD83A02BC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5C59ACC-05E3-432A-A63F-EB3130AA6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11D-4E1C-91F4-E2BD83A02BC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2D88B2D-F017-4750-B911-D9A9D7A34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11D-4E1C-91F4-E2BD83A02BC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60157C5-7356-4BBD-A79E-A91703ECD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11D-4E1C-91F4-E2BD83A02BC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5BFF08A-39B3-4860-A989-573A44651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11D-4E1C-91F4-E2BD83A02BC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B8D9BFE-4A12-414A-8130-ACA0A669D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11D-4E1C-91F4-E2BD83A02BC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1FF22D6-F361-4E74-B5C3-863E492A1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11D-4E1C-91F4-E2BD83A02BC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706FA0F-B5A5-4FA9-B1FB-0D115D771A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11D-4E1C-91F4-E2BD83A02BC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F619F2A-CD44-48DA-B75A-55BEE6AA93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11D-4E1C-91F4-E2BD83A02BC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F4906C4-EF88-40FD-BE28-277849DB5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11D-4E1C-91F4-E2BD83A02BC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9347EAA-5CA3-471F-BDA6-33FA99BBA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11D-4E1C-91F4-E2BD83A02BC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8E6D16C-3097-4D25-849A-3938E92EF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11D-4E1C-91F4-E2BD83A02BC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9075718-4E3E-44A5-BDF6-006FF1C49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11D-4E1C-91F4-E2BD83A02BC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5177FD81-BA18-40C9-BB68-56D6927CB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11D-4E1C-91F4-E2BD83A02BC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5511D79-1F76-4E8C-AC76-E02D7AA7B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11D-4E1C-91F4-E2BD83A02BC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57B8D33-D3D9-4CFF-9AB9-A1E3EEB7D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11D-4E1C-91F4-E2BD83A02BC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527BB02-1EBC-4B9B-820E-5E1068A83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11D-4E1C-91F4-E2BD83A02BC8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591EBF6-F385-40AD-A7EF-377CC9496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11D-4E1C-91F4-E2BD83A02BC8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A5C7D908-5628-4745-B360-F23B52163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11D-4E1C-91F4-E2BD83A02BC8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1AD323D-1253-43A3-AA3D-2C40D1ED9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11D-4E1C-91F4-E2BD83A02BC8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2AB7DFE-DF6F-46BF-A6D6-94E7D049C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11D-4E1C-91F4-E2BD83A02BC8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04D92C4C-F430-4DDE-AD1C-62574F6AC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11D-4E1C-91F4-E2BD83A02BC8}"/>
                </c:ext>
              </c:extLst>
            </c:dLbl>
            <c:dLbl>
              <c:idx val="49"/>
              <c:layout>
                <c:manualLayout>
                  <c:x val="-6.8397186755654274E-2"/>
                  <c:y val="4.5533814055678887E-3"/>
                </c:manualLayout>
              </c:layout>
              <c:tx>
                <c:rich>
                  <a:bodyPr/>
                  <a:lstStyle/>
                  <a:p>
                    <a:fld id="{7D3C1755-8211-45E2-858B-D4277D862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A11D-4E1C-91F4-E2BD83A02BC8}"/>
                </c:ext>
              </c:extLst>
            </c:dLbl>
            <c:dLbl>
              <c:idx val="50"/>
              <c:layout>
                <c:manualLayout>
                  <c:x val="0"/>
                  <c:y val="9.1067628111357775E-3"/>
                </c:manualLayout>
              </c:layout>
              <c:tx>
                <c:rich>
                  <a:bodyPr/>
                  <a:lstStyle/>
                  <a:p>
                    <a:fld id="{641B0F9F-8CB3-48D5-83AC-29D0669DA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A11D-4E1C-91F4-E2BD83A02BC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B0F70D1-AFFA-460F-85C5-E82C9BE1D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11D-4E1C-91F4-E2BD83A02BC8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A281775F-C67A-49DA-9AC7-883BD224E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11D-4E1C-91F4-E2BD83A02BC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4AFC1D8E-615C-4D64-9763-FDA71F9BB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11D-4E1C-91F4-E2BD83A02BC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B32F2CC-9ED3-4050-8D0C-603A19AA1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11D-4E1C-91F4-E2BD83A02BC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BFCFE8CF-18ED-434D-BC25-D5968E6288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1D-4E1C-91F4-E2BD83A02BC8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73BE46C-7E98-4DAE-A00E-C57E05BA3F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11D-4E1C-91F4-E2BD83A02BC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378032FF-CC0D-4CAC-8920-C6518F0A3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11D-4E1C-91F4-E2BD83A02BC8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7017A70-9344-498E-BC92-287626124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11D-4E1C-91F4-E2BD83A02BC8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186CA40-545A-4C3F-9420-4BD6E3EFF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11D-4E1C-91F4-E2BD83A02BC8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0D0FB7B1-E71C-4E7B-8376-8973E2CDC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11D-4E1C-91F4-E2BD83A02BC8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568667B4-BC89-4698-858C-35196DFE7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11D-4E1C-91F4-E2BD83A02BC8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F42C680-0233-4C61-83A7-27B71240E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11D-4E1C-91F4-E2BD83A02BC8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5DEFE70-CACB-4EE2-9C2B-8F182464E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11D-4E1C-91F4-E2BD83A02BC8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C154C969-F8E4-4C1F-B855-65A3E806E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11D-4E1C-91F4-E2BD83A02BC8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DFBFD4B-5BD5-478D-A122-A558D20AA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11D-4E1C-91F4-E2BD83A02BC8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5397216A-86A6-46AF-B3CF-7D792F833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11D-4E1C-91F4-E2BD83A02BC8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F28FF24-51C5-4569-85FC-E74F53100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11D-4E1C-91F4-E2BD83A02BC8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F8FA773F-B3F9-4F1A-A699-E98AA0EDA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11D-4E1C-91F4-E2BD83A02BC8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3915AFFF-FF10-4D1C-AC18-7AA93C3216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11D-4E1C-91F4-E2BD83A02BC8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85314A2-CD7D-4B62-8467-EB4FBAAF2D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11D-4E1C-91F4-E2BD83A02BC8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C824AEC-01B5-4F53-B82B-9028AD499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11D-4E1C-91F4-E2BD83A02BC8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341B9DF-05F7-47EE-89AF-9A7B4E5B05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11D-4E1C-91F4-E2BD83A02BC8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B977694-4F7A-494B-AD87-9F4721383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11D-4E1C-91F4-E2BD83A02BC8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9FBD280C-3E0C-4E34-971A-06A83C493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11D-4E1C-91F4-E2BD83A02BC8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7610A3FD-0F50-4048-A6D9-C3DE6C5F01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11D-4E1C-91F4-E2BD83A02BC8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773AFC7E-86E0-45DC-8FAB-2CA139EB47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11D-4E1C-91F4-E2BD83A02BC8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32252A28-7D12-4E48-BBD2-EE341E3FF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11D-4E1C-91F4-E2BD83A02BC8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79793DA9-4519-473D-9BC1-C6CD1A035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11D-4E1C-91F4-E2BD83A02BC8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AA8A4B2-1F50-4E1E-9763-1807B13C1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11D-4E1C-91F4-E2BD83A02BC8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B3173548-0A93-4C4E-A93B-039121EA4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11D-4E1C-91F4-E2BD83A02BC8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FE0784B-A323-45C8-BB95-282654C68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A11D-4E1C-91F4-E2BD83A02BC8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3628273-9518-4B63-8D04-6A14EAE26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A11D-4E1C-91F4-E2BD83A02BC8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7D6D20E5-BA43-45D0-A214-5260056F1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11D-4E1C-91F4-E2BD83A02BC8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D8F8953-93DD-4F54-A817-95AE72E49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A11D-4E1C-91F4-E2BD83A02BC8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076A397-02E0-45A5-A242-06CB8B4CF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11D-4E1C-91F4-E2BD83A02BC8}"/>
                </c:ext>
              </c:extLst>
            </c:dLbl>
            <c:dLbl>
              <c:idx val="86"/>
              <c:layout>
                <c:manualLayout>
                  <c:x val="-8.7050964961741847E-2"/>
                  <c:y val="-4.1738847380312334E-17"/>
                </c:manualLayout>
              </c:layout>
              <c:tx>
                <c:rich>
                  <a:bodyPr/>
                  <a:lstStyle/>
                  <a:p>
                    <a:fld id="{D8233AD3-D7CE-4CF9-86F5-1C49B5AA1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A11D-4E1C-91F4-E2BD83A02BC8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2F2381D8-A4B0-4E0A-995C-651FE8228F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A11D-4E1C-91F4-E2BD83A02BC8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43DF979C-1698-43CD-802F-83ABE1E248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A11D-4E1C-91F4-E2BD83A02BC8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2CF6078-FA47-4F01-9264-7C2944F9B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A11D-4E1C-91F4-E2BD83A02BC8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EF7BDA88-1E6E-4240-AD0A-61BB060C0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A11D-4E1C-91F4-E2BD83A02BC8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966B0161-D1EB-4E7D-8DDE-9EF7A17C0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A11D-4E1C-91F4-E2BD83A02BC8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9383306-5D2D-4F93-B6BF-676B99654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A11D-4E1C-91F4-E2BD83A02BC8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4FD6DC7F-5E72-41E9-846F-23DD1F957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A11D-4E1C-91F4-E2BD83A02BC8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AB0A14A4-6B71-4472-83C3-8D428C7F17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A11D-4E1C-91F4-E2BD83A02BC8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CB6CF461-F3C2-4150-9A80-79BEC3E755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A11D-4E1C-91F4-E2BD83A02BC8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D675FE7-B86A-4561-BD36-DAB2E9693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A11D-4E1C-91F4-E2BD83A02BC8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CC77C27-37BE-4513-B2A0-47FA9B80A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A11D-4E1C-91F4-E2BD83A02BC8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A9FAF96-B068-4E25-AC16-04DE21ACF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A11D-4E1C-91F4-E2BD83A02BC8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E9623DE9-FD81-4FF4-8E26-D6CB6E1A6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A11D-4E1C-91F4-E2BD83A02BC8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3E3F6065-8BBC-424D-BD72-DA8B7471C6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A11D-4E1C-91F4-E2BD83A02BC8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B88CF1FD-13C6-4069-9476-729B7DA74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A11D-4E1C-91F4-E2BD83A02BC8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D0F8659A-D19B-40D6-8864-5FADDA6351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A11D-4E1C-91F4-E2BD83A02BC8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75D896E5-934B-4A15-9206-A5A59B07F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A11D-4E1C-91F4-E2BD83A02BC8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C86E20E3-B8FA-41B1-AFCB-2A60245C4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A11D-4E1C-91F4-E2BD83A02BC8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5C662B8E-64A6-40DE-AF83-154CF1783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11D-4E1C-91F4-E2BD83A02BC8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EB6E57A8-F205-475A-A56C-115376CAF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A11D-4E1C-91F4-E2BD83A02BC8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A8494256-56A2-4721-9C97-6441DF8D1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A11D-4E1C-91F4-E2BD83A02BC8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5D02BE3D-D18D-4A7B-8A39-FE41A43CB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A11D-4E1C-91F4-E2BD83A02BC8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D894AA5C-9744-4FCF-95F7-BDA31E069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A11D-4E1C-91F4-E2BD83A02BC8}"/>
                </c:ext>
              </c:extLst>
            </c:dLbl>
            <c:dLbl>
              <c:idx val="110"/>
              <c:layout>
                <c:manualLayout>
                  <c:x val="-1.8653778206087605E-2"/>
                  <c:y val="3.6427051244543027E-2"/>
                </c:manualLayout>
              </c:layout>
              <c:tx>
                <c:rich>
                  <a:bodyPr/>
                  <a:lstStyle/>
                  <a:p>
                    <a:fld id="{C297B2C0-0D7B-4156-A1DD-88FD80A90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2-A11D-4E1C-91F4-E2BD83A02BC8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34AB0BE-88E1-4DC6-8315-73A7B5961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A11D-4E1C-91F4-E2BD83A02BC8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8B7AA46C-B58B-4C68-9056-A57715D33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A11D-4E1C-91F4-E2BD83A02BC8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FCE2C9DB-057F-4DA9-B4ED-A4C4CF75C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A11D-4E1C-91F4-E2BD83A02BC8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FE2E10E7-9742-4B62-9502-F461CBD51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A11D-4E1C-91F4-E2BD83A02BC8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D82B391E-2AA7-45B0-A336-82FFB807A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A11D-4E1C-91F4-E2BD83A02BC8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F0AC855C-E8A0-42B0-A5BD-FD52CCD75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A11D-4E1C-91F4-E2BD83A02BC8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6F2F8159-4B41-4406-AC5C-2B1F5FA51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A11D-4E1C-91F4-E2BD83A02BC8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3EBC0FD3-05C2-41FE-868D-B28C5798F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11D-4E1C-91F4-E2BD83A02BC8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89C2AA90-D593-468D-BE06-2F1A53ED7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A11D-4E1C-91F4-E2BD83A02BC8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F99F6D08-B477-4DD2-BB4D-2AD9E86F8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A11D-4E1C-91F4-E2BD83A02BC8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BCE855BB-C6F2-42C3-8A53-2331B1B70B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A11D-4E1C-91F4-E2BD83A02BC8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0DBBE84F-F471-4B04-8750-ED8AB1440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A11D-4E1C-91F4-E2BD83A02BC8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78390E86-B17A-4069-BC0A-959803256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A11D-4E1C-91F4-E2BD83A02BC8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2BFB771-A38C-4781-B9A0-8FF2E71FB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A11D-4E1C-91F4-E2BD83A02BC8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EE0E515-B349-4611-B69A-0A7965126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A11D-4E1C-91F4-E2BD83A02BC8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AF17DDBD-F305-448C-81EC-CEEA14576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A11D-4E1C-91F4-E2BD83A02BC8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AC4B8A13-85AF-4A53-8DA9-BF437C362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A11D-4E1C-91F4-E2BD83A02BC8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10DF3C6A-9C79-43BF-AD95-94575FB81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A11D-4E1C-91F4-E2BD83A02BC8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1949AB1-B66D-4F60-8E93-AB7DB0439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A11D-4E1C-91F4-E2BD83A02BC8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54F97AEE-2AB2-4C57-82FC-FBFDB44D3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A11D-4E1C-91F4-E2BD83A02BC8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EE0FD12-D5FA-4032-AF21-B77FD49F2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A11D-4E1C-91F4-E2BD83A02BC8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7481DA33-86ED-4F43-8F13-2848033A30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A11D-4E1C-91F4-E2BD83A02BC8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B05FC5AC-B173-487A-B7BF-388FFD157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A11D-4E1C-91F4-E2BD83A02BC8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DA92B68-50E4-416B-A9E5-2F34B1A2C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A11D-4E1C-91F4-E2BD83A02BC8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6D8D11BC-56C8-445C-99A4-489EB9DE9D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A11D-4E1C-91F4-E2BD83A02BC8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18E1F110-F632-4AE0-A892-9435E7D0E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A11D-4E1C-91F4-E2BD83A02BC8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76092E0F-EC74-4ACB-9468-2854260DFC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A11D-4E1C-91F4-E2BD83A02BC8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F3F2182-AE0C-42CB-A46B-68A97555F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A11D-4E1C-91F4-E2BD83A02BC8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734150D3-C6AE-4888-8ADD-54D4B63E2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A11D-4E1C-91F4-E2BD83A02BC8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A0574A2F-3260-4C81-BBB6-BADD3D25F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1D-4E1C-91F4-E2BD83A02BC8}"/>
                </c:ext>
              </c:extLst>
            </c:dLbl>
            <c:dLbl>
              <c:idx val="141"/>
              <c:layout>
                <c:manualLayout>
                  <c:x val="-8.4834224605900468E-2"/>
                  <c:y val="-2.2754734776545004E-2"/>
                </c:manualLayout>
              </c:layout>
              <c:tx>
                <c:rich>
                  <a:bodyPr/>
                  <a:lstStyle/>
                  <a:p>
                    <a:fld id="{2CBB7EC6-878C-4A52-A210-CC9628252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F-A11D-4E1C-91F4-E2BD83A02BC8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48BB9965-DE39-4822-BA48-CC30EE650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A11D-4E1C-91F4-E2BD83A02BC8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38649981-FD82-4F5E-BECB-AB6AC9B6E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A11D-4E1C-91F4-E2BD83A02B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'Whiff % vs OPS'!$B$2:$B$145</c:f>
              <c:numCache>
                <c:formatCode>General</c:formatCode>
                <c:ptCount val="144"/>
                <c:pt idx="0">
                  <c:v>0.748</c:v>
                </c:pt>
                <c:pt idx="1">
                  <c:v>0.73899999999999999</c:v>
                </c:pt>
                <c:pt idx="2">
                  <c:v>0.77800000000000002</c:v>
                </c:pt>
                <c:pt idx="3">
                  <c:v>0.67100000000000004</c:v>
                </c:pt>
                <c:pt idx="4">
                  <c:v>0.871</c:v>
                </c:pt>
                <c:pt idx="5">
                  <c:v>0.77100000000000002</c:v>
                </c:pt>
                <c:pt idx="6">
                  <c:v>0.76</c:v>
                </c:pt>
                <c:pt idx="7">
                  <c:v>0.71899999999999997</c:v>
                </c:pt>
                <c:pt idx="8">
                  <c:v>0.73299999999999998</c:v>
                </c:pt>
                <c:pt idx="9">
                  <c:v>0.74199999999999999</c:v>
                </c:pt>
                <c:pt idx="10">
                  <c:v>0.81399999999999995</c:v>
                </c:pt>
                <c:pt idx="11">
                  <c:v>0.73199999999999998</c:v>
                </c:pt>
                <c:pt idx="12">
                  <c:v>0.84</c:v>
                </c:pt>
                <c:pt idx="13">
                  <c:v>0.71899999999999997</c:v>
                </c:pt>
                <c:pt idx="14">
                  <c:v>0.74</c:v>
                </c:pt>
                <c:pt idx="15">
                  <c:v>0.80200000000000005</c:v>
                </c:pt>
                <c:pt idx="16">
                  <c:v>0.86599999999999999</c:v>
                </c:pt>
                <c:pt idx="17">
                  <c:v>0.71</c:v>
                </c:pt>
                <c:pt idx="18">
                  <c:v>0.878</c:v>
                </c:pt>
                <c:pt idx="19">
                  <c:v>0.84599999999999997</c:v>
                </c:pt>
                <c:pt idx="20">
                  <c:v>0.88400000000000001</c:v>
                </c:pt>
                <c:pt idx="21">
                  <c:v>0.69399999999999995</c:v>
                </c:pt>
                <c:pt idx="22">
                  <c:v>0.77</c:v>
                </c:pt>
                <c:pt idx="23">
                  <c:v>0.81299999999999994</c:v>
                </c:pt>
                <c:pt idx="24">
                  <c:v>0.77100000000000002</c:v>
                </c:pt>
                <c:pt idx="25">
                  <c:v>0.71099999999999997</c:v>
                </c:pt>
                <c:pt idx="26">
                  <c:v>0.754</c:v>
                </c:pt>
                <c:pt idx="27">
                  <c:v>0.79100000000000004</c:v>
                </c:pt>
                <c:pt idx="28">
                  <c:v>0.73399999999999999</c:v>
                </c:pt>
                <c:pt idx="29">
                  <c:v>0.72199999999999998</c:v>
                </c:pt>
                <c:pt idx="30">
                  <c:v>0.74399999999999999</c:v>
                </c:pt>
                <c:pt idx="31">
                  <c:v>0.76800000000000002</c:v>
                </c:pt>
                <c:pt idx="32">
                  <c:v>0.67600000000000005</c:v>
                </c:pt>
                <c:pt idx="33">
                  <c:v>0.77600000000000002</c:v>
                </c:pt>
                <c:pt idx="34">
                  <c:v>0.85099999999999998</c:v>
                </c:pt>
                <c:pt idx="35">
                  <c:v>0.70099999999999996</c:v>
                </c:pt>
                <c:pt idx="36">
                  <c:v>0.84799999999999998</c:v>
                </c:pt>
                <c:pt idx="37">
                  <c:v>0.77500000000000002</c:v>
                </c:pt>
                <c:pt idx="38">
                  <c:v>0.65</c:v>
                </c:pt>
                <c:pt idx="39">
                  <c:v>0.77400000000000002</c:v>
                </c:pt>
                <c:pt idx="40">
                  <c:v>0.72099999999999997</c:v>
                </c:pt>
                <c:pt idx="41">
                  <c:v>0.69599999999999995</c:v>
                </c:pt>
                <c:pt idx="42">
                  <c:v>0.86899999999999999</c:v>
                </c:pt>
                <c:pt idx="43">
                  <c:v>0.75600000000000001</c:v>
                </c:pt>
                <c:pt idx="44">
                  <c:v>0.74199999999999999</c:v>
                </c:pt>
                <c:pt idx="45">
                  <c:v>0.66500000000000004</c:v>
                </c:pt>
                <c:pt idx="46">
                  <c:v>0.70099999999999996</c:v>
                </c:pt>
                <c:pt idx="47">
                  <c:v>0.8</c:v>
                </c:pt>
                <c:pt idx="48">
                  <c:v>0.73099999999999998</c:v>
                </c:pt>
                <c:pt idx="49">
                  <c:v>0.84299999999999997</c:v>
                </c:pt>
                <c:pt idx="50">
                  <c:v>0.80600000000000005</c:v>
                </c:pt>
                <c:pt idx="51">
                  <c:v>0.81200000000000006</c:v>
                </c:pt>
                <c:pt idx="52">
                  <c:v>0.84799999999999998</c:v>
                </c:pt>
                <c:pt idx="53">
                  <c:v>0.71299999999999997</c:v>
                </c:pt>
                <c:pt idx="54">
                  <c:v>0.76200000000000001</c:v>
                </c:pt>
                <c:pt idx="55">
                  <c:v>0.84399999999999997</c:v>
                </c:pt>
                <c:pt idx="56">
                  <c:v>0.67700000000000005</c:v>
                </c:pt>
                <c:pt idx="57">
                  <c:v>0.59599999999999997</c:v>
                </c:pt>
                <c:pt idx="58">
                  <c:v>0.78700000000000003</c:v>
                </c:pt>
                <c:pt idx="59">
                  <c:v>0.73799999999999999</c:v>
                </c:pt>
                <c:pt idx="60">
                  <c:v>0.73899999999999999</c:v>
                </c:pt>
                <c:pt idx="61">
                  <c:v>0.68899999999999995</c:v>
                </c:pt>
                <c:pt idx="62">
                  <c:v>0.66900000000000004</c:v>
                </c:pt>
                <c:pt idx="63">
                  <c:v>1.145</c:v>
                </c:pt>
                <c:pt idx="64">
                  <c:v>0.68400000000000005</c:v>
                </c:pt>
                <c:pt idx="65">
                  <c:v>0.76900000000000002</c:v>
                </c:pt>
                <c:pt idx="66">
                  <c:v>0.70399999999999996</c:v>
                </c:pt>
                <c:pt idx="67">
                  <c:v>0.86099999999999999</c:v>
                </c:pt>
                <c:pt idx="68">
                  <c:v>0.77500000000000002</c:v>
                </c:pt>
                <c:pt idx="69">
                  <c:v>0.72699999999999998</c:v>
                </c:pt>
                <c:pt idx="70">
                  <c:v>0.65500000000000003</c:v>
                </c:pt>
                <c:pt idx="71">
                  <c:v>0.73399999999999999</c:v>
                </c:pt>
                <c:pt idx="72">
                  <c:v>0.81200000000000006</c:v>
                </c:pt>
                <c:pt idx="73">
                  <c:v>0.67300000000000004</c:v>
                </c:pt>
                <c:pt idx="74">
                  <c:v>0.78400000000000003</c:v>
                </c:pt>
                <c:pt idx="75">
                  <c:v>0.68799999999999994</c:v>
                </c:pt>
                <c:pt idx="76">
                  <c:v>0.72399999999999998</c:v>
                </c:pt>
                <c:pt idx="77">
                  <c:v>0.79500000000000004</c:v>
                </c:pt>
                <c:pt idx="78">
                  <c:v>0.76800000000000002</c:v>
                </c:pt>
                <c:pt idx="79">
                  <c:v>0.89300000000000002</c:v>
                </c:pt>
                <c:pt idx="80">
                  <c:v>0.7</c:v>
                </c:pt>
                <c:pt idx="81">
                  <c:v>0.77100000000000002</c:v>
                </c:pt>
                <c:pt idx="82">
                  <c:v>0.64300000000000002</c:v>
                </c:pt>
                <c:pt idx="83">
                  <c:v>0.69299999999999995</c:v>
                </c:pt>
                <c:pt idx="84">
                  <c:v>0.64900000000000002</c:v>
                </c:pt>
                <c:pt idx="85">
                  <c:v>0.81499999999999995</c:v>
                </c:pt>
                <c:pt idx="86">
                  <c:v>0.79300000000000004</c:v>
                </c:pt>
                <c:pt idx="87">
                  <c:v>0.76</c:v>
                </c:pt>
                <c:pt idx="88">
                  <c:v>0.68600000000000005</c:v>
                </c:pt>
                <c:pt idx="89">
                  <c:v>0.80300000000000005</c:v>
                </c:pt>
                <c:pt idx="90">
                  <c:v>1.014</c:v>
                </c:pt>
                <c:pt idx="91">
                  <c:v>0.85</c:v>
                </c:pt>
                <c:pt idx="92">
                  <c:v>0.59299999999999997</c:v>
                </c:pt>
                <c:pt idx="93">
                  <c:v>0.755</c:v>
                </c:pt>
                <c:pt idx="94">
                  <c:v>0.77400000000000002</c:v>
                </c:pt>
                <c:pt idx="95">
                  <c:v>0.79800000000000004</c:v>
                </c:pt>
                <c:pt idx="96">
                  <c:v>0.84</c:v>
                </c:pt>
                <c:pt idx="97">
                  <c:v>0.85099999999999998</c:v>
                </c:pt>
                <c:pt idx="98">
                  <c:v>0.73</c:v>
                </c:pt>
                <c:pt idx="99">
                  <c:v>0.82099999999999995</c:v>
                </c:pt>
                <c:pt idx="100">
                  <c:v>0.70899999999999996</c:v>
                </c:pt>
                <c:pt idx="101">
                  <c:v>0.94799999999999995</c:v>
                </c:pt>
                <c:pt idx="102">
                  <c:v>0.7</c:v>
                </c:pt>
                <c:pt idx="103">
                  <c:v>0.86299999999999999</c:v>
                </c:pt>
                <c:pt idx="104">
                  <c:v>0.72799999999999998</c:v>
                </c:pt>
                <c:pt idx="105">
                  <c:v>0.69899999999999995</c:v>
                </c:pt>
                <c:pt idx="106">
                  <c:v>0.622</c:v>
                </c:pt>
                <c:pt idx="107">
                  <c:v>0.72</c:v>
                </c:pt>
                <c:pt idx="108">
                  <c:v>0.83599999999999997</c:v>
                </c:pt>
                <c:pt idx="109">
                  <c:v>0.79800000000000004</c:v>
                </c:pt>
                <c:pt idx="110">
                  <c:v>0.81399999999999995</c:v>
                </c:pt>
                <c:pt idx="111">
                  <c:v>0.74199999999999999</c:v>
                </c:pt>
                <c:pt idx="112">
                  <c:v>0.92800000000000005</c:v>
                </c:pt>
                <c:pt idx="113">
                  <c:v>0.66900000000000004</c:v>
                </c:pt>
                <c:pt idx="114">
                  <c:v>0.746</c:v>
                </c:pt>
                <c:pt idx="115">
                  <c:v>0.70099999999999996</c:v>
                </c:pt>
                <c:pt idx="116">
                  <c:v>0.82</c:v>
                </c:pt>
                <c:pt idx="117">
                  <c:v>0.72699999999999998</c:v>
                </c:pt>
                <c:pt idx="118">
                  <c:v>0.92100000000000004</c:v>
                </c:pt>
                <c:pt idx="119">
                  <c:v>0.95899999999999996</c:v>
                </c:pt>
                <c:pt idx="120">
                  <c:v>0.72299999999999998</c:v>
                </c:pt>
                <c:pt idx="121">
                  <c:v>0.74099999999999999</c:v>
                </c:pt>
                <c:pt idx="122">
                  <c:v>0.71899999999999997</c:v>
                </c:pt>
                <c:pt idx="123">
                  <c:v>0.82399999999999995</c:v>
                </c:pt>
                <c:pt idx="124">
                  <c:v>0.80400000000000005</c:v>
                </c:pt>
                <c:pt idx="125">
                  <c:v>0.71699999999999997</c:v>
                </c:pt>
                <c:pt idx="126">
                  <c:v>0.81399999999999995</c:v>
                </c:pt>
                <c:pt idx="127">
                  <c:v>0.78900000000000003</c:v>
                </c:pt>
                <c:pt idx="128">
                  <c:v>0.745</c:v>
                </c:pt>
                <c:pt idx="129">
                  <c:v>0.79800000000000004</c:v>
                </c:pt>
                <c:pt idx="130">
                  <c:v>0.84099999999999997</c:v>
                </c:pt>
                <c:pt idx="131">
                  <c:v>0.79400000000000004</c:v>
                </c:pt>
                <c:pt idx="132">
                  <c:v>0.81200000000000006</c:v>
                </c:pt>
                <c:pt idx="133">
                  <c:v>0.71699999999999997</c:v>
                </c:pt>
                <c:pt idx="134">
                  <c:v>0.66300000000000003</c:v>
                </c:pt>
                <c:pt idx="135">
                  <c:v>0.67400000000000004</c:v>
                </c:pt>
                <c:pt idx="136">
                  <c:v>0.71799999999999997</c:v>
                </c:pt>
                <c:pt idx="137">
                  <c:v>0.79200000000000004</c:v>
                </c:pt>
                <c:pt idx="138">
                  <c:v>0.79900000000000004</c:v>
                </c:pt>
                <c:pt idx="139">
                  <c:v>0.67300000000000004</c:v>
                </c:pt>
                <c:pt idx="140">
                  <c:v>0.85199999999999998</c:v>
                </c:pt>
                <c:pt idx="141">
                  <c:v>0.82499999999999996</c:v>
                </c:pt>
                <c:pt idx="142">
                  <c:v>0.73599999999999999</c:v>
                </c:pt>
                <c:pt idx="143">
                  <c:v>0.79500000000000004</c:v>
                </c:pt>
              </c:numCache>
            </c:numRef>
          </c:xVal>
          <c:yVal>
            <c:numRef>
              <c:f>'Whiff % vs OPS'!$C$2:$C$145</c:f>
              <c:numCache>
                <c:formatCode>General</c:formatCode>
                <c:ptCount val="144"/>
                <c:pt idx="0">
                  <c:v>24.4</c:v>
                </c:pt>
                <c:pt idx="1">
                  <c:v>29.2</c:v>
                </c:pt>
                <c:pt idx="2">
                  <c:v>28.5</c:v>
                </c:pt>
                <c:pt idx="3">
                  <c:v>20.8</c:v>
                </c:pt>
                <c:pt idx="4">
                  <c:v>25.6</c:v>
                </c:pt>
                <c:pt idx="5">
                  <c:v>20.7</c:v>
                </c:pt>
                <c:pt idx="6">
                  <c:v>29.7</c:v>
                </c:pt>
                <c:pt idx="7">
                  <c:v>5.3</c:v>
                </c:pt>
                <c:pt idx="8">
                  <c:v>31.2</c:v>
                </c:pt>
                <c:pt idx="9">
                  <c:v>23.6</c:v>
                </c:pt>
                <c:pt idx="10">
                  <c:v>18.100000000000001</c:v>
                </c:pt>
                <c:pt idx="11">
                  <c:v>15.3</c:v>
                </c:pt>
                <c:pt idx="12">
                  <c:v>18.399999999999999</c:v>
                </c:pt>
                <c:pt idx="13">
                  <c:v>21.3</c:v>
                </c:pt>
                <c:pt idx="14">
                  <c:v>14.6</c:v>
                </c:pt>
                <c:pt idx="15">
                  <c:v>17.899999999999999</c:v>
                </c:pt>
                <c:pt idx="16">
                  <c:v>25.1</c:v>
                </c:pt>
                <c:pt idx="17">
                  <c:v>32.9</c:v>
                </c:pt>
                <c:pt idx="18">
                  <c:v>31.3</c:v>
                </c:pt>
                <c:pt idx="19">
                  <c:v>24.7</c:v>
                </c:pt>
                <c:pt idx="20">
                  <c:v>24.8</c:v>
                </c:pt>
                <c:pt idx="21">
                  <c:v>29.9</c:v>
                </c:pt>
                <c:pt idx="22">
                  <c:v>25.3</c:v>
                </c:pt>
                <c:pt idx="23">
                  <c:v>32.200000000000003</c:v>
                </c:pt>
                <c:pt idx="24">
                  <c:v>26</c:v>
                </c:pt>
                <c:pt idx="25">
                  <c:v>14.5</c:v>
                </c:pt>
                <c:pt idx="26">
                  <c:v>24.2</c:v>
                </c:pt>
                <c:pt idx="27">
                  <c:v>28.9</c:v>
                </c:pt>
                <c:pt idx="28">
                  <c:v>22.3</c:v>
                </c:pt>
                <c:pt idx="29">
                  <c:v>20.399999999999999</c:v>
                </c:pt>
                <c:pt idx="30">
                  <c:v>18.8</c:v>
                </c:pt>
                <c:pt idx="31">
                  <c:v>28.9</c:v>
                </c:pt>
                <c:pt idx="32">
                  <c:v>34</c:v>
                </c:pt>
                <c:pt idx="33">
                  <c:v>31.7</c:v>
                </c:pt>
                <c:pt idx="34">
                  <c:v>31.6</c:v>
                </c:pt>
                <c:pt idx="35">
                  <c:v>23.4</c:v>
                </c:pt>
                <c:pt idx="36">
                  <c:v>17.899999999999999</c:v>
                </c:pt>
                <c:pt idx="37">
                  <c:v>13.4</c:v>
                </c:pt>
                <c:pt idx="38">
                  <c:v>29.7</c:v>
                </c:pt>
                <c:pt idx="39">
                  <c:v>29.3</c:v>
                </c:pt>
                <c:pt idx="40">
                  <c:v>13</c:v>
                </c:pt>
                <c:pt idx="41">
                  <c:v>12.2</c:v>
                </c:pt>
                <c:pt idx="42">
                  <c:v>27.3</c:v>
                </c:pt>
                <c:pt idx="43">
                  <c:v>12.8</c:v>
                </c:pt>
                <c:pt idx="44">
                  <c:v>17.5</c:v>
                </c:pt>
                <c:pt idx="45">
                  <c:v>30.3</c:v>
                </c:pt>
                <c:pt idx="46">
                  <c:v>21.7</c:v>
                </c:pt>
                <c:pt idx="47">
                  <c:v>15</c:v>
                </c:pt>
                <c:pt idx="48">
                  <c:v>20.5</c:v>
                </c:pt>
                <c:pt idx="49">
                  <c:v>32</c:v>
                </c:pt>
                <c:pt idx="50">
                  <c:v>30.9</c:v>
                </c:pt>
                <c:pt idx="51">
                  <c:v>22.7</c:v>
                </c:pt>
                <c:pt idx="52">
                  <c:v>21.5</c:v>
                </c:pt>
                <c:pt idx="53">
                  <c:v>20.2</c:v>
                </c:pt>
                <c:pt idx="54">
                  <c:v>24.6</c:v>
                </c:pt>
                <c:pt idx="55">
                  <c:v>30.7</c:v>
                </c:pt>
                <c:pt idx="56">
                  <c:v>24.4</c:v>
                </c:pt>
                <c:pt idx="57">
                  <c:v>19.899999999999999</c:v>
                </c:pt>
                <c:pt idx="58">
                  <c:v>25.1</c:v>
                </c:pt>
                <c:pt idx="59">
                  <c:v>31.9</c:v>
                </c:pt>
                <c:pt idx="60">
                  <c:v>11.2</c:v>
                </c:pt>
                <c:pt idx="61">
                  <c:v>24.5</c:v>
                </c:pt>
                <c:pt idx="62">
                  <c:v>19.899999999999999</c:v>
                </c:pt>
                <c:pt idx="63">
                  <c:v>34.6</c:v>
                </c:pt>
                <c:pt idx="64">
                  <c:v>25.4</c:v>
                </c:pt>
                <c:pt idx="65">
                  <c:v>18.5</c:v>
                </c:pt>
                <c:pt idx="66">
                  <c:v>8.6999999999999993</c:v>
                </c:pt>
                <c:pt idx="67">
                  <c:v>25.1</c:v>
                </c:pt>
                <c:pt idx="68">
                  <c:v>26.3</c:v>
                </c:pt>
                <c:pt idx="69">
                  <c:v>29.8</c:v>
                </c:pt>
                <c:pt idx="70">
                  <c:v>24</c:v>
                </c:pt>
                <c:pt idx="71">
                  <c:v>13.1</c:v>
                </c:pt>
                <c:pt idx="72">
                  <c:v>20.8</c:v>
                </c:pt>
                <c:pt idx="73">
                  <c:v>18.899999999999999</c:v>
                </c:pt>
                <c:pt idx="74">
                  <c:v>33.4</c:v>
                </c:pt>
                <c:pt idx="75">
                  <c:v>24.7</c:v>
                </c:pt>
                <c:pt idx="76">
                  <c:v>21.6</c:v>
                </c:pt>
                <c:pt idx="77">
                  <c:v>26.1</c:v>
                </c:pt>
                <c:pt idx="78">
                  <c:v>27.7</c:v>
                </c:pt>
                <c:pt idx="79">
                  <c:v>22.5</c:v>
                </c:pt>
                <c:pt idx="80">
                  <c:v>26.2</c:v>
                </c:pt>
                <c:pt idx="81">
                  <c:v>22.8</c:v>
                </c:pt>
                <c:pt idx="82">
                  <c:v>28.5</c:v>
                </c:pt>
                <c:pt idx="83">
                  <c:v>35.200000000000003</c:v>
                </c:pt>
                <c:pt idx="84">
                  <c:v>13</c:v>
                </c:pt>
                <c:pt idx="85">
                  <c:v>22.1</c:v>
                </c:pt>
                <c:pt idx="86">
                  <c:v>29.1</c:v>
                </c:pt>
                <c:pt idx="87">
                  <c:v>23.8</c:v>
                </c:pt>
                <c:pt idx="88">
                  <c:v>20.9</c:v>
                </c:pt>
                <c:pt idx="89">
                  <c:v>23.3</c:v>
                </c:pt>
                <c:pt idx="90">
                  <c:v>33.4</c:v>
                </c:pt>
                <c:pt idx="91">
                  <c:v>26.2</c:v>
                </c:pt>
                <c:pt idx="92">
                  <c:v>16</c:v>
                </c:pt>
                <c:pt idx="93">
                  <c:v>25.8</c:v>
                </c:pt>
                <c:pt idx="94">
                  <c:v>21.5</c:v>
                </c:pt>
                <c:pt idx="95">
                  <c:v>18.2</c:v>
                </c:pt>
                <c:pt idx="96">
                  <c:v>27.1</c:v>
                </c:pt>
                <c:pt idx="97">
                  <c:v>12</c:v>
                </c:pt>
                <c:pt idx="98">
                  <c:v>26.9</c:v>
                </c:pt>
                <c:pt idx="99">
                  <c:v>23.3</c:v>
                </c:pt>
                <c:pt idx="100">
                  <c:v>26.8</c:v>
                </c:pt>
                <c:pt idx="101">
                  <c:v>31.5</c:v>
                </c:pt>
                <c:pt idx="102">
                  <c:v>25.5</c:v>
                </c:pt>
                <c:pt idx="103">
                  <c:v>14.9</c:v>
                </c:pt>
                <c:pt idx="104">
                  <c:v>25.3</c:v>
                </c:pt>
                <c:pt idx="105">
                  <c:v>24.3</c:v>
                </c:pt>
                <c:pt idx="106">
                  <c:v>21.9</c:v>
                </c:pt>
                <c:pt idx="107">
                  <c:v>29.4</c:v>
                </c:pt>
                <c:pt idx="108">
                  <c:v>21.2</c:v>
                </c:pt>
                <c:pt idx="109">
                  <c:v>28.2</c:v>
                </c:pt>
                <c:pt idx="110">
                  <c:v>30.8</c:v>
                </c:pt>
                <c:pt idx="111">
                  <c:v>15</c:v>
                </c:pt>
                <c:pt idx="112">
                  <c:v>33.1</c:v>
                </c:pt>
                <c:pt idx="113">
                  <c:v>22.6</c:v>
                </c:pt>
                <c:pt idx="114">
                  <c:v>23</c:v>
                </c:pt>
                <c:pt idx="115">
                  <c:v>19.600000000000001</c:v>
                </c:pt>
                <c:pt idx="116">
                  <c:v>25.4</c:v>
                </c:pt>
                <c:pt idx="117">
                  <c:v>23.5</c:v>
                </c:pt>
                <c:pt idx="118">
                  <c:v>22.4</c:v>
                </c:pt>
                <c:pt idx="119">
                  <c:v>26.1</c:v>
                </c:pt>
                <c:pt idx="120">
                  <c:v>25</c:v>
                </c:pt>
                <c:pt idx="121">
                  <c:v>29.3</c:v>
                </c:pt>
                <c:pt idx="122">
                  <c:v>16.7</c:v>
                </c:pt>
                <c:pt idx="123">
                  <c:v>33.299999999999997</c:v>
                </c:pt>
                <c:pt idx="124">
                  <c:v>23.9</c:v>
                </c:pt>
                <c:pt idx="125">
                  <c:v>30.5</c:v>
                </c:pt>
                <c:pt idx="126">
                  <c:v>27</c:v>
                </c:pt>
                <c:pt idx="127">
                  <c:v>26.9</c:v>
                </c:pt>
                <c:pt idx="128">
                  <c:v>19.5</c:v>
                </c:pt>
                <c:pt idx="129">
                  <c:v>29.9</c:v>
                </c:pt>
                <c:pt idx="130">
                  <c:v>20.2</c:v>
                </c:pt>
                <c:pt idx="131">
                  <c:v>21</c:v>
                </c:pt>
                <c:pt idx="132">
                  <c:v>24.8</c:v>
                </c:pt>
                <c:pt idx="133">
                  <c:v>20.6</c:v>
                </c:pt>
                <c:pt idx="134">
                  <c:v>25.1</c:v>
                </c:pt>
                <c:pt idx="135">
                  <c:v>24.2</c:v>
                </c:pt>
                <c:pt idx="136">
                  <c:v>30.5</c:v>
                </c:pt>
                <c:pt idx="137">
                  <c:v>23.8</c:v>
                </c:pt>
                <c:pt idx="138">
                  <c:v>9.6</c:v>
                </c:pt>
                <c:pt idx="139">
                  <c:v>19.600000000000001</c:v>
                </c:pt>
                <c:pt idx="140">
                  <c:v>23.9</c:v>
                </c:pt>
                <c:pt idx="141">
                  <c:v>32.9</c:v>
                </c:pt>
                <c:pt idx="142">
                  <c:v>19</c:v>
                </c:pt>
                <c:pt idx="143">
                  <c:v>29.2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'Whiff % vs OPS'!$D$2:$D$145</c15:f>
                <c15:dlblRangeCache>
                  <c:ptCount val="144"/>
                  <c:pt idx="7">
                    <c:v>Arraez</c:v>
                  </c:pt>
                  <c:pt idx="18">
                    <c:v>Buxton</c:v>
                  </c:pt>
                  <c:pt idx="32">
                    <c:v>Cruz</c:v>
                  </c:pt>
                  <c:pt idx="33">
                    <c:v>De La Cruz</c:v>
                  </c:pt>
                  <c:pt idx="38">
                    <c:v>Doyle</c:v>
                  </c:pt>
                  <c:pt idx="41">
                    <c:v>Edwards</c:v>
                  </c:pt>
                  <c:pt idx="57">
                    <c:v>Hayes</c:v>
                  </c:pt>
                  <c:pt idx="60">
                    <c:v>Hoerner</c:v>
                  </c:pt>
                  <c:pt idx="63">
                    <c:v>Judge</c:v>
                  </c:pt>
                  <c:pt idx="66">
                    <c:v>Kwan</c:v>
                  </c:pt>
                  <c:pt idx="79">
                    <c:v>Marte</c:v>
                  </c:pt>
                  <c:pt idx="82">
                    <c:v>McLain</c:v>
                  </c:pt>
                  <c:pt idx="83">
                    <c:v>McMahon</c:v>
                  </c:pt>
                  <c:pt idx="84">
                    <c:v>Meidroth</c:v>
                  </c:pt>
                  <c:pt idx="90">
                    <c:v>Ohtani</c:v>
                  </c:pt>
                  <c:pt idx="92">
                    <c:v>Ortiz</c:v>
                  </c:pt>
                  <c:pt idx="97">
                    <c:v>Perdomo</c:v>
                  </c:pt>
                  <c:pt idx="101">
                    <c:v>Raleigh</c:v>
                  </c:pt>
                  <c:pt idx="103">
                    <c:v>Ramirez</c:v>
                  </c:pt>
                  <c:pt idx="106">
                    <c:v>Rengifo</c:v>
                  </c:pt>
                  <c:pt idx="112">
                    <c:v>Schwarber</c:v>
                  </c:pt>
                  <c:pt idx="118">
                    <c:v>Soto</c:v>
                  </c:pt>
                  <c:pt idx="119">
                    <c:v>Springer</c:v>
                  </c:pt>
                  <c:pt idx="129">
                    <c:v>Trout</c:v>
                  </c:pt>
                  <c:pt idx="138">
                    <c:v>Wilson</c:v>
                  </c:pt>
                  <c:pt idx="140">
                    <c:v>Witt Jr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1D-4E1C-91F4-E2BD83A02BC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42369007"/>
        <c:axId val="1742359887"/>
      </c:scatterChart>
      <c:valAx>
        <c:axId val="174236900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59887"/>
        <c:crosses val="autoZero"/>
        <c:crossBetween val="midCat"/>
      </c:valAx>
      <c:valAx>
        <c:axId val="1742359887"/>
        <c:scaling>
          <c:orientation val="minMax"/>
          <c:max val="38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Whiff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6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206179</xdr:colOff>
      <xdr:row>3</xdr:row>
      <xdr:rowOff>22860</xdr:rowOff>
    </xdr:from>
    <xdr:to>
      <xdr:col>15</xdr:col>
      <xdr:colOff>244279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A3FFDE-196A-7798-0C53-480404CA5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390355</xdr:colOff>
      <xdr:row>24</xdr:row>
      <xdr:rowOff>38518</xdr:rowOff>
    </xdr:from>
    <xdr:to>
      <xdr:col>13</xdr:col>
      <xdr:colOff>534864</xdr:colOff>
      <xdr:row>37</xdr:row>
      <xdr:rowOff>127322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83B31E1-68F6-CBE9-5E6A-5EFC5EABE920}"/>
            </a:ext>
          </a:extLst>
        </xdr:cNvPr>
        <xdr:cNvSpPr txBox="1"/>
      </xdr:nvSpPr>
      <xdr:spPr>
        <a:xfrm>
          <a:off x="5390980" y="4610518"/>
          <a:ext cx="4770938" cy="25653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Takeaways:</a:t>
          </a:r>
        </a:p>
        <a:p>
          <a:r>
            <a:rPr lang="en-US" b="1"/>
            <a:t>1. High Whiff % ≠ Always Bad</a:t>
          </a:r>
          <a:endParaRPr lang="en-US"/>
        </a:p>
        <a:p>
          <a:r>
            <a:rPr lang="en-US"/>
            <a:t>Some players with high Whiff % still maintain high OPS </a:t>
          </a:r>
          <a:r>
            <a:rPr lang="en-US" b="1"/>
            <a:t>(Ex.</a:t>
          </a:r>
          <a:r>
            <a:rPr lang="en-US" b="1" baseline="0"/>
            <a:t> </a:t>
          </a:r>
          <a:r>
            <a:rPr lang="en-US" b="1"/>
            <a:t>Judge,</a:t>
          </a:r>
          <a:r>
            <a:rPr lang="en-US" b="1" baseline="0"/>
            <a:t> Ohtani, Schwarber)</a:t>
          </a:r>
          <a:r>
            <a:rPr lang="en-US" b="1"/>
            <a:t>,</a:t>
          </a:r>
          <a:r>
            <a:rPr lang="en-US"/>
            <a:t> showing that missing more often can be acceptable if compensated with power hitting.</a:t>
          </a:r>
        </a:p>
        <a:p>
          <a:endParaRPr lang="en-US"/>
        </a:p>
        <a:p>
          <a:r>
            <a:rPr lang="en-US" b="1"/>
            <a:t>2. Low Whiff % Doesn’t Guarantee Success</a:t>
          </a:r>
          <a:endParaRPr lang="en-US"/>
        </a:p>
        <a:p>
          <a:r>
            <a:rPr lang="en-US"/>
            <a:t>Players with low swing-and-miss rates aren’t automatically high OPS hitters </a:t>
          </a:r>
          <a:r>
            <a:rPr lang="en-US" b="1"/>
            <a:t>(;</a:t>
          </a:r>
          <a:r>
            <a:rPr lang="en-US"/>
            <a:t> consistent contact needs to be paired with quality hitting to produce results.</a:t>
          </a:r>
        </a:p>
        <a:p>
          <a:endParaRPr lang="en-US"/>
        </a:p>
        <a:p>
          <a:r>
            <a:rPr lang="en-US" b="1"/>
            <a:t>3. Weak Correlation Indicates Complexity</a:t>
          </a:r>
        </a:p>
        <a:p>
          <a:r>
            <a:rPr lang="en-US"/>
            <a:t>The weak correlation (r = 0.247) shows that </a:t>
          </a:r>
          <a:r>
            <a:rPr lang="en-US" b="0" i="0" u="sng"/>
            <a:t>Whiff % alone cannot predict OPS.</a:t>
          </a:r>
        </a:p>
        <a:p>
          <a:r>
            <a:rPr lang="en-US"/>
            <a:t>Other factors like plate discipline, exit velocity, launch angle, and batting approach also strongly affect performance.</a:t>
          </a:r>
        </a:p>
        <a:p>
          <a:endParaRPr lang="en-US"/>
        </a:p>
        <a:p>
          <a:endParaRPr lang="en-US" sz="1100"/>
        </a:p>
      </xdr:txBody>
    </xdr:sp>
    <xdr:clientData/>
  </xdr:twoCellAnchor>
  <xdr:oneCellAnchor>
    <xdr:from>
      <xdr:col>15</xdr:col>
      <xdr:colOff>586154</xdr:colOff>
      <xdr:row>20</xdr:row>
      <xdr:rowOff>34876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715FDB-39EA-4604-BD62-5BB58E1CCCFE}"/>
            </a:ext>
          </a:extLst>
        </xdr:cNvPr>
        <xdr:cNvSpPr txBox="1"/>
      </xdr:nvSpPr>
      <xdr:spPr>
        <a:xfrm>
          <a:off x="11404356" y="38448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146538</xdr:colOff>
      <xdr:row>19</xdr:row>
      <xdr:rowOff>9526</xdr:rowOff>
    </xdr:from>
    <xdr:to>
      <xdr:col>14</xdr:col>
      <xdr:colOff>447090</xdr:colOff>
      <xdr:row>22</xdr:row>
      <xdr:rowOff>181415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FCEC62-6E57-153B-E122-AB3344FE4A3D}"/>
            </a:ext>
          </a:extLst>
        </xdr:cNvPr>
        <xdr:cNvSpPr txBox="1"/>
      </xdr:nvSpPr>
      <xdr:spPr>
        <a:xfrm>
          <a:off x="5147163" y="3629026"/>
          <a:ext cx="5509994" cy="743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between Whiff % and OPS for 2025 MLB qualified batters: r = 0.247, indicating a weak positive relationship. Players with slightly higher swing-and-miss rates tend to have marginally higher OPS, consistent with the trade-off between power and contact.</a:t>
          </a:r>
        </a:p>
        <a:p>
          <a:endParaRPr lang="en-US" sz="1100"/>
        </a:p>
      </xdr:txBody>
    </xdr:sp>
    <xdr:clientData/>
  </xdr:twoCellAnchor>
  <xdr:twoCellAnchor>
    <xdr:from>
      <xdr:col>15</xdr:col>
      <xdr:colOff>575856</xdr:colOff>
      <xdr:row>1</xdr:row>
      <xdr:rowOff>130335</xdr:rowOff>
    </xdr:from>
    <xdr:to>
      <xdr:col>19</xdr:col>
      <xdr:colOff>538489</xdr:colOff>
      <xdr:row>15</xdr:row>
      <xdr:rowOff>12653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0B198D1-7A69-0FE3-201E-7AD83681136F}"/>
            </a:ext>
          </a:extLst>
        </xdr:cNvPr>
        <xdr:cNvSpPr txBox="1"/>
      </xdr:nvSpPr>
      <xdr:spPr>
        <a:xfrm>
          <a:off x="11427552" y="320835"/>
          <a:ext cx="2411919" cy="25493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none"/>
            <a:t>Low</a:t>
          </a:r>
          <a:r>
            <a:rPr lang="en-US" sz="1100" b="1" u="none" baseline="0"/>
            <a:t> Whiff Rate, High OPS:</a:t>
          </a:r>
        </a:p>
        <a:p>
          <a:r>
            <a:rPr lang="en-US" sz="1100" b="1" u="none" baseline="0"/>
            <a:t>                                                 OPS      Whiff%</a:t>
          </a:r>
        </a:p>
        <a:p>
          <a:r>
            <a:rPr lang="en-US" sz="1100" b="0" u="none" baseline="0"/>
            <a:t>Geraldo Perdomo         .851       12.0%</a:t>
          </a:r>
        </a:p>
        <a:p>
          <a:r>
            <a:rPr lang="en-US" sz="1100" b="0" u="none" baseline="0"/>
            <a:t>Jose Ramirez                   .863       14.9% </a:t>
          </a:r>
        </a:p>
        <a:p>
          <a:r>
            <a:rPr lang="en-US" sz="1100" b="0" u="none" baseline="0"/>
            <a:t>Jacob Wilson                   .799         9.6%</a:t>
          </a:r>
        </a:p>
        <a:p>
          <a:endParaRPr lang="en-US" sz="1100" b="1" u="none" baseline="0"/>
        </a:p>
        <a:p>
          <a:r>
            <a:rPr lang="en-US" b="1"/>
            <a:t>These players make a lot of contact while</a:t>
          </a:r>
          <a:r>
            <a:rPr lang="en-US" b="1" baseline="0"/>
            <a:t> </a:t>
          </a:r>
          <a:r>
            <a:rPr lang="en-US" b="1"/>
            <a:t>producing strong offensive results.</a:t>
          </a:r>
        </a:p>
        <a:p>
          <a:endParaRPr lang="en-US" sz="1100" b="1" u="none"/>
        </a:p>
        <a:p>
          <a:r>
            <a:rPr lang="en-US" sz="1100" b="1" u="none"/>
            <a:t>(Contact hitters</a:t>
          </a:r>
          <a:r>
            <a:rPr lang="en-US" sz="1100" b="1" u="none" baseline="0"/>
            <a:t> who produce </a:t>
          </a:r>
          <a:r>
            <a:rPr lang="en-US" sz="1100" b="1" u="sng" baseline="0"/>
            <a:t>strong</a:t>
          </a:r>
          <a:r>
            <a:rPr lang="en-US" sz="1100" b="1" u="none" baseline="0"/>
            <a:t> results)</a:t>
          </a:r>
          <a:endParaRPr lang="en-US" sz="1100" b="1" u="none"/>
        </a:p>
      </xdr:txBody>
    </xdr:sp>
    <xdr:clientData/>
  </xdr:twoCellAnchor>
  <xdr:twoCellAnchor>
    <xdr:from>
      <xdr:col>20</xdr:col>
      <xdr:colOff>75663</xdr:colOff>
      <xdr:row>1</xdr:row>
      <xdr:rowOff>152020</xdr:rowOff>
    </xdr:from>
    <xdr:to>
      <xdr:col>23</xdr:col>
      <xdr:colOff>604398</xdr:colOff>
      <xdr:row>15</xdr:row>
      <xdr:rowOff>19181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B02748-ACDE-EEE4-8861-44A161C69BCC}"/>
            </a:ext>
          </a:extLst>
        </xdr:cNvPr>
        <xdr:cNvSpPr txBox="1"/>
      </xdr:nvSpPr>
      <xdr:spPr>
        <a:xfrm>
          <a:off x="13988967" y="342520"/>
          <a:ext cx="2365699" cy="2534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 Whiff Rate, Low OPS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OPS      Whiff%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Joey Ortiz                          .593      16.0%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Chase Meidroth             .649      13.0% 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Xavier Edwards              .696      12.2%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players make a lot of contact but do not produce strong offensive results.</a:t>
          </a:r>
        </a:p>
        <a:p>
          <a:endParaRPr lang="en-US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(Contact hitters who produce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poor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results)</a:t>
          </a:r>
          <a:endParaRPr lang="en-US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15</xdr:col>
      <xdr:colOff>580333</xdr:colOff>
      <xdr:row>16</xdr:row>
      <xdr:rowOff>21481</xdr:rowOff>
    </xdr:from>
    <xdr:to>
      <xdr:col>19</xdr:col>
      <xdr:colOff>542966</xdr:colOff>
      <xdr:row>29</xdr:row>
      <xdr:rowOff>97640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EAFA6B-4F3E-4CCA-8569-D818E72F2AF2}"/>
            </a:ext>
          </a:extLst>
        </xdr:cNvPr>
        <xdr:cNvSpPr txBox="1"/>
      </xdr:nvSpPr>
      <xdr:spPr>
        <a:xfrm>
          <a:off x="11432029" y="3069481"/>
          <a:ext cx="2411919" cy="2552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none"/>
            <a:t>High</a:t>
          </a:r>
          <a:r>
            <a:rPr lang="en-US" sz="1100" b="1" u="none" baseline="0"/>
            <a:t> Whiff Rate, High OPS:</a:t>
          </a:r>
        </a:p>
        <a:p>
          <a:r>
            <a:rPr lang="en-US" sz="1100" b="1" u="none" baseline="0"/>
            <a:t>                                                 OPS      Whiff%</a:t>
          </a:r>
        </a:p>
        <a:p>
          <a:r>
            <a:rPr lang="en-US" sz="1100" b="0" u="none" baseline="0"/>
            <a:t>Aaron Judge                     1.145     34.6%</a:t>
          </a:r>
        </a:p>
        <a:p>
          <a:r>
            <a:rPr lang="en-US" sz="1100" b="0" u="none" baseline="0"/>
            <a:t>Shohei Ohtani                 1.014     33.4%</a:t>
          </a:r>
        </a:p>
        <a:p>
          <a:r>
            <a:rPr lang="en-US" sz="1100" b="0" u="none" baseline="0"/>
            <a:t>Kyle Schwarber               .928       33.1%</a:t>
          </a:r>
        </a:p>
        <a:p>
          <a:endParaRPr lang="en-US" sz="1100" b="1" u="none" baseline="0"/>
        </a:p>
        <a:p>
          <a:r>
            <a:rPr lang="en-US" b="1"/>
            <a:t>These players don't</a:t>
          </a:r>
          <a:r>
            <a:rPr lang="en-US" b="1" baseline="0"/>
            <a:t> make a</a:t>
          </a:r>
          <a:r>
            <a:rPr lang="en-US" b="1"/>
            <a:t> lot of contact while</a:t>
          </a:r>
          <a:r>
            <a:rPr lang="en-US" b="1" baseline="0"/>
            <a:t> </a:t>
          </a:r>
          <a:r>
            <a:rPr lang="en-US" b="1"/>
            <a:t>producing strong offensive results.</a:t>
          </a:r>
        </a:p>
        <a:p>
          <a:endParaRPr lang="en-US" sz="1100" b="1" u="none"/>
        </a:p>
        <a:p>
          <a:r>
            <a:rPr lang="en-US" sz="1100" b="1" u="none"/>
            <a:t>(Non-content hitters</a:t>
          </a:r>
          <a:r>
            <a:rPr lang="en-US" sz="1100" b="1" u="none" baseline="0"/>
            <a:t> who produce </a:t>
          </a:r>
          <a:r>
            <a:rPr lang="en-US" sz="1100" b="1" u="sng" baseline="0"/>
            <a:t>strong</a:t>
          </a:r>
          <a:r>
            <a:rPr lang="en-US" sz="1100" b="1" u="none" baseline="0"/>
            <a:t> results)</a:t>
          </a:r>
          <a:endParaRPr lang="en-US" sz="1100" b="1" u="none"/>
        </a:p>
      </xdr:txBody>
    </xdr:sp>
    <xdr:clientData/>
  </xdr:twoCellAnchor>
  <xdr:twoCellAnchor>
    <xdr:from>
      <xdr:col>20</xdr:col>
      <xdr:colOff>90714</xdr:colOff>
      <xdr:row>16</xdr:row>
      <xdr:rowOff>35530</xdr:rowOff>
    </xdr:from>
    <xdr:to>
      <xdr:col>24</xdr:col>
      <xdr:colOff>12843</xdr:colOff>
      <xdr:row>29</xdr:row>
      <xdr:rowOff>93191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9FA4B7-CD5E-4910-AC08-EDD727CCCDB1}"/>
            </a:ext>
          </a:extLst>
        </xdr:cNvPr>
        <xdr:cNvSpPr txBox="1"/>
      </xdr:nvSpPr>
      <xdr:spPr>
        <a:xfrm>
          <a:off x="14004018" y="3083530"/>
          <a:ext cx="2371414" cy="2534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Whiff Rate, Low OPS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OPS      Whiff%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Oneil Cruz                        .676       34.0%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Ryan McMahon              .693       35.2% </a:t>
          </a:r>
          <a:endParaRPr lang="en-US">
            <a:effectLst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Matt McLain                     .643      28.5%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players don't make a lot of contact and do not produce strong offensive results.</a:t>
          </a:r>
        </a:p>
        <a:p>
          <a:endParaRPr lang="en-US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(Non-contact hitters who produce </a:t>
          </a:r>
          <a:r>
            <a:rPr lang="en-US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poor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results)</a:t>
          </a:r>
          <a:endParaRPr lang="en-US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15</xdr:col>
      <xdr:colOff>595005</xdr:colOff>
      <xdr:row>36</xdr:row>
      <xdr:rowOff>1223</xdr:rowOff>
    </xdr:from>
    <xdr:to>
      <xdr:col>22</xdr:col>
      <xdr:colOff>369217</xdr:colOff>
      <xdr:row>75</xdr:row>
      <xdr:rowOff>45247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C7773C-4203-9AFC-C1AF-1B4D4628A11C}"/>
            </a:ext>
          </a:extLst>
        </xdr:cNvPr>
        <xdr:cNvSpPr txBox="1"/>
      </xdr:nvSpPr>
      <xdr:spPr>
        <a:xfrm>
          <a:off x="12352531" y="6979539"/>
          <a:ext cx="4032054" cy="76038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Not every productive hitter is the same, so to better analyze offensive production across both contact and power hitters, I created the stat </a:t>
          </a:r>
          <a:r>
            <a:rPr lang="en-US" b="1"/>
            <a:t>Whiff Efficiency</a:t>
          </a:r>
          <a:r>
            <a:rPr lang="en-US"/>
            <a:t> to measure how effectively a player converts their swings into offensive output relative to how often they miss.</a:t>
          </a:r>
        </a:p>
        <a:p>
          <a:endParaRPr lang="en-US" sz="1100"/>
        </a:p>
        <a:p>
          <a:r>
            <a:rPr lang="en-US" b="1" u="sng"/>
            <a:t>Why It’s Useful:</a:t>
          </a:r>
        </a:p>
        <a:p>
          <a:r>
            <a:rPr lang="en-US"/>
            <a:t>- Traditional stats like OPS or batting average don’t account for how often a player misses. A high-OPS player might rely on power but strike out frequently, while another player could achieve a similar OPS with better contact and consistency.</a:t>
          </a:r>
        </a:p>
        <a:p>
          <a:r>
            <a:rPr lang="en-US" b="1"/>
            <a:t>- </a:t>
          </a:r>
          <a:r>
            <a:rPr lang="en-US" b="0"/>
            <a:t>Whiff Efficiency provides context</a:t>
          </a:r>
          <a:r>
            <a:rPr lang="en-US"/>
            <a:t> by rewarding hitters who:</a:t>
          </a:r>
        </a:p>
        <a:p>
          <a:r>
            <a:rPr lang="en-US"/>
            <a:t>           1. </a:t>
          </a:r>
          <a:r>
            <a:rPr lang="en-US" b="0"/>
            <a:t>Produce strong OPS with fewer swings and misses </a:t>
          </a:r>
          <a:r>
            <a:rPr lang="en-US" b="1"/>
            <a:t>(efficient contact hitters).</a:t>
          </a:r>
        </a:p>
        <a:p>
          <a:r>
            <a:rPr lang="en-US" b="0"/>
            <a:t>           2.</a:t>
          </a:r>
          <a:r>
            <a:rPr lang="en-US" b="0" baseline="0"/>
            <a:t> </a:t>
          </a:r>
          <a:r>
            <a:rPr lang="en-US" b="0"/>
            <a:t>Maintain high offensive value despite a higher whiff rate </a:t>
          </a:r>
          <a:r>
            <a:rPr lang="en-US" b="1"/>
            <a:t>(productive power hitters).</a:t>
          </a:r>
        </a:p>
        <a:p>
          <a:endParaRPr lang="en-US"/>
        </a:p>
        <a:p>
          <a:r>
            <a:rPr lang="en-US" b="1" u="sng"/>
            <a:t>How It Evaluates Players Better:</a:t>
          </a:r>
        </a:p>
        <a:p>
          <a:r>
            <a:rPr lang="en-US" b="1"/>
            <a:t>- Balances power and contact:</a:t>
          </a:r>
          <a:r>
            <a:rPr lang="en-US"/>
            <a:t> It identifies players who combine high contact ability with good power output.</a:t>
          </a:r>
        </a:p>
        <a:p>
          <a:r>
            <a:rPr lang="en-US" b="1"/>
            <a:t>- Highlights undervalued hitters:</a:t>
          </a:r>
          <a:r>
            <a:rPr lang="en-US"/>
            <a:t> A player with a modest OPS but excellent Whiff Efficiency might be more sustainable long-term than a high-OPS, high-whiff player.</a:t>
          </a:r>
        </a:p>
        <a:p>
          <a:r>
            <a:rPr lang="en-US" b="1"/>
            <a:t>- Reveals offensive “efficiency”:</a:t>
          </a:r>
          <a:r>
            <a:rPr lang="en-US"/>
            <a:t> It tells you who gets the most offensive production per miss — a sign of plate discipline and skill.</a:t>
          </a:r>
        </a:p>
        <a:p>
          <a:r>
            <a:rPr lang="en-US" b="1"/>
            <a:t>- Easy comparison metric:</a:t>
          </a:r>
          <a:r>
            <a:rPr lang="en-US"/>
            <a:t> One number allows quick comparison between players with different hitting styles.</a:t>
          </a:r>
        </a:p>
        <a:p>
          <a:endParaRPr lang="en-US"/>
        </a:p>
        <a:p>
          <a:r>
            <a:rPr lang="en-US" b="1"/>
            <a:t>Some Cons With</a:t>
          </a:r>
          <a:r>
            <a:rPr lang="en-US" b="1" baseline="0"/>
            <a:t> The Stat:</a:t>
          </a:r>
        </a:p>
        <a:p>
          <a:r>
            <a:rPr lang="en-US" b="1" baseline="0"/>
            <a:t>- </a:t>
          </a:r>
          <a:r>
            <a:rPr lang="en-US" b="1"/>
            <a:t>Extreme contact hitters (e.g., Luis Arraez) receive a significant boost.</a:t>
          </a:r>
          <a:br>
            <a:rPr lang="en-US"/>
          </a:br>
          <a:r>
            <a:rPr lang="en-US"/>
            <a:t>Because Whiff Efficiency heavily rewards low Whiff%, players who make constant contact but don’t hit for much power can appear more efficient than they actually are in terms of </a:t>
          </a:r>
          <a:r>
            <a:rPr lang="en-US" i="1"/>
            <a:t>run production</a:t>
          </a:r>
          <a:r>
            <a:rPr lang="en-US"/>
            <a:t>. This can overvalue hitters who prioritize contact at the expense of power or extra-base potential.</a:t>
          </a:r>
        </a:p>
        <a:p>
          <a:r>
            <a:rPr lang="en-US" b="1"/>
            <a:t>- Power hitters with high Whiff% are penalized more than performance warrants.</a:t>
          </a:r>
          <a:br>
            <a:rPr lang="en-US"/>
          </a:br>
          <a:r>
            <a:rPr lang="en-US"/>
            <a:t>Players like Kyle Schwarber or Giancarlo Stanton — who generate a large share of their offensive value through home runs and walks — are inherently punished by the formula despite contributing significantly to scoring. This skews the metric toward contact-oriented players.</a:t>
          </a:r>
        </a:p>
        <a:p>
          <a:endParaRPr lang="en-US" sz="1100"/>
        </a:p>
      </xdr:txBody>
    </xdr:sp>
    <xdr:clientData/>
  </xdr:twoCellAnchor>
  <xdr:twoCellAnchor>
    <xdr:from>
      <xdr:col>17</xdr:col>
      <xdr:colOff>502959</xdr:colOff>
      <xdr:row>31</xdr:row>
      <xdr:rowOff>136060</xdr:rowOff>
    </xdr:from>
    <xdr:to>
      <xdr:col>26</xdr:col>
      <xdr:colOff>438996</xdr:colOff>
      <xdr:row>34</xdr:row>
      <xdr:rowOff>93606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45E99D-C1BE-55E8-6845-ADD265411C9F}"/>
            </a:ext>
          </a:extLst>
        </xdr:cNvPr>
        <xdr:cNvSpPr txBox="1"/>
      </xdr:nvSpPr>
      <xdr:spPr>
        <a:xfrm>
          <a:off x="13542991" y="6232060"/>
          <a:ext cx="6019747" cy="547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Whiff</a:t>
          </a:r>
          <a:r>
            <a:rPr lang="en-US" sz="2000" b="1" baseline="0"/>
            <a:t> Efficiency (WE) * [(OPS^3 / Whiff %) * 100]</a:t>
          </a:r>
          <a:endParaRPr lang="en-US" sz="2000" b="1"/>
        </a:p>
      </xdr:txBody>
    </xdr:sp>
    <xdr:clientData/>
  </xdr:twoCellAnchor>
  <xdr:oneCellAnchor>
    <xdr:from>
      <xdr:col>15</xdr:col>
      <xdr:colOff>179705</xdr:colOff>
      <xdr:row>35</xdr:row>
      <xdr:rowOff>103505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DF6DD9-5550-5CC8-CE6E-A1EB01B59C96}"/>
            </a:ext>
          </a:extLst>
        </xdr:cNvPr>
        <xdr:cNvSpPr txBox="1"/>
      </xdr:nvSpPr>
      <xdr:spPr>
        <a:xfrm>
          <a:off x="11017038" y="691917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56FB-CD31-4F6A-8281-8ABDA44E17A6}">
  <dimension ref="A1:AB145"/>
  <sheetViews>
    <sheetView tabSelected="1" zoomScale="64" zoomScaleNormal="186" workbookViewId="0">
      <selection activeCell="L54" sqref="L54"/>
    </sheetView>
  </sheetViews>
  <sheetFormatPr defaultRowHeight="15" x14ac:dyDescent="0.25"/>
  <cols>
    <col min="1" max="1" width="22.140625" bestFit="1" customWidth="1"/>
    <col min="2" max="2" width="16.7109375" bestFit="1" customWidth="1"/>
    <col min="3" max="3" width="12.7109375" bestFit="1" customWidth="1"/>
    <col min="4" max="5" width="14.140625" customWidth="1"/>
    <col min="9" max="9" width="11.42578125" bestFit="1" customWidth="1"/>
    <col min="10" max="10" width="12" bestFit="1" customWidth="1"/>
    <col min="25" max="25" width="17.5703125" bestFit="1" customWidth="1"/>
  </cols>
  <sheetData>
    <row r="1" spans="1:5" x14ac:dyDescent="0.25">
      <c r="A1" t="s">
        <v>171</v>
      </c>
      <c r="B1" t="s">
        <v>172</v>
      </c>
      <c r="C1" t="s">
        <v>173</v>
      </c>
      <c r="D1" t="s">
        <v>144</v>
      </c>
      <c r="E1" t="s">
        <v>174</v>
      </c>
    </row>
    <row r="2" spans="1:5" x14ac:dyDescent="0.25">
      <c r="A2" t="s">
        <v>12</v>
      </c>
      <c r="B2">
        <v>0.748</v>
      </c>
      <c r="C2">
        <v>24.4</v>
      </c>
      <c r="E2" s="2">
        <f>(B2^3/C2)*100</f>
        <v>1.7152007868852464</v>
      </c>
    </row>
    <row r="3" spans="1:5" x14ac:dyDescent="0.25">
      <c r="A3" t="s">
        <v>113</v>
      </c>
      <c r="B3">
        <v>0.73899999999999999</v>
      </c>
      <c r="C3">
        <v>29.2</v>
      </c>
      <c r="E3" s="2">
        <f>(B3^3/C3)*100</f>
        <v>1.3821349965753424</v>
      </c>
    </row>
    <row r="4" spans="1:5" x14ac:dyDescent="0.25">
      <c r="A4" t="s">
        <v>82</v>
      </c>
      <c r="B4">
        <v>0.77800000000000002</v>
      </c>
      <c r="C4">
        <v>28.5</v>
      </c>
      <c r="E4" s="2">
        <f>(B4^3/C4)*100</f>
        <v>1.6523191298245616</v>
      </c>
    </row>
    <row r="5" spans="1:5" x14ac:dyDescent="0.25">
      <c r="A5" t="s">
        <v>17</v>
      </c>
      <c r="B5">
        <v>0.67100000000000004</v>
      </c>
      <c r="C5">
        <v>20.8</v>
      </c>
      <c r="E5" s="2">
        <f>(B5^3/C5)*100</f>
        <v>1.4524601490384619</v>
      </c>
    </row>
    <row r="6" spans="1:5" x14ac:dyDescent="0.25">
      <c r="A6" t="s">
        <v>123</v>
      </c>
      <c r="B6">
        <v>0.871</v>
      </c>
      <c r="C6">
        <v>25.6</v>
      </c>
      <c r="E6" s="2">
        <f>(B6^3/C6)*100</f>
        <v>2.5811574648437499</v>
      </c>
    </row>
    <row r="7" spans="1:5" x14ac:dyDescent="0.25">
      <c r="A7" t="s">
        <v>116</v>
      </c>
      <c r="B7">
        <v>0.77100000000000002</v>
      </c>
      <c r="C7">
        <v>20.7</v>
      </c>
      <c r="E7" s="2">
        <f>(B7^3/C7)*100</f>
        <v>2.2140773478260871</v>
      </c>
    </row>
    <row r="8" spans="1:5" x14ac:dyDescent="0.25">
      <c r="A8" t="s">
        <v>26</v>
      </c>
      <c r="B8">
        <v>0.76</v>
      </c>
      <c r="C8">
        <v>29.7</v>
      </c>
      <c r="E8" s="2">
        <f>(B8^3/C8)*100</f>
        <v>1.4780336700336703</v>
      </c>
    </row>
    <row r="9" spans="1:5" x14ac:dyDescent="0.25">
      <c r="A9" t="s">
        <v>140</v>
      </c>
      <c r="B9">
        <v>0.71899999999999997</v>
      </c>
      <c r="C9">
        <v>5.3</v>
      </c>
      <c r="D9" t="s">
        <v>147</v>
      </c>
      <c r="E9" s="2">
        <f>(B9^3/C9)*100</f>
        <v>7.0131124339622639</v>
      </c>
    </row>
    <row r="10" spans="1:5" x14ac:dyDescent="0.25">
      <c r="A10" t="s">
        <v>76</v>
      </c>
      <c r="B10">
        <v>0.73299999999999998</v>
      </c>
      <c r="C10">
        <v>31.2</v>
      </c>
      <c r="E10" s="2">
        <f>(B10^3/C10)*100</f>
        <v>1.262284733974359</v>
      </c>
    </row>
    <row r="11" spans="1:5" x14ac:dyDescent="0.25">
      <c r="A11" t="s">
        <v>32</v>
      </c>
      <c r="B11">
        <v>0.74199999999999999</v>
      </c>
      <c r="C11">
        <v>23.6</v>
      </c>
      <c r="E11" s="2">
        <f>(B11^3/C11)*100</f>
        <v>1.7310105423728812</v>
      </c>
    </row>
    <row r="12" spans="1:5" x14ac:dyDescent="0.25">
      <c r="A12" t="s">
        <v>61</v>
      </c>
      <c r="B12">
        <v>0.81399999999999995</v>
      </c>
      <c r="C12">
        <v>18.100000000000001</v>
      </c>
      <c r="E12" s="2">
        <f>(B12^3/C12)*100</f>
        <v>2.9798516243093913</v>
      </c>
    </row>
    <row r="13" spans="1:5" x14ac:dyDescent="0.25">
      <c r="A13" t="s">
        <v>90</v>
      </c>
      <c r="B13">
        <v>0.73199999999999998</v>
      </c>
      <c r="C13">
        <v>15.3</v>
      </c>
      <c r="E13" s="2">
        <f>(B13^3/C13)*100</f>
        <v>2.5635501176470581</v>
      </c>
    </row>
    <row r="14" spans="1:5" x14ac:dyDescent="0.25">
      <c r="A14" t="s">
        <v>101</v>
      </c>
      <c r="B14">
        <v>0.84</v>
      </c>
      <c r="C14">
        <v>18.399999999999999</v>
      </c>
      <c r="E14" s="2">
        <f>(B14^3/C14)*100</f>
        <v>3.2212173913043478</v>
      </c>
    </row>
    <row r="15" spans="1:5" x14ac:dyDescent="0.25">
      <c r="A15" t="s">
        <v>2</v>
      </c>
      <c r="B15">
        <v>0.71899999999999997</v>
      </c>
      <c r="C15">
        <v>21.3</v>
      </c>
      <c r="E15" s="2">
        <f>(B15^3/C15)*100</f>
        <v>1.7450467558685445</v>
      </c>
    </row>
    <row r="16" spans="1:5" x14ac:dyDescent="0.25">
      <c r="A16" t="s">
        <v>52</v>
      </c>
      <c r="B16">
        <v>0.74</v>
      </c>
      <c r="C16">
        <v>14.6</v>
      </c>
      <c r="E16" s="2">
        <f>(B16^3/C16)*100</f>
        <v>2.7755068493150685</v>
      </c>
    </row>
    <row r="17" spans="1:10" x14ac:dyDescent="0.25">
      <c r="A17" t="s">
        <v>84</v>
      </c>
      <c r="B17">
        <v>0.80200000000000005</v>
      </c>
      <c r="C17">
        <v>17.899999999999999</v>
      </c>
      <c r="E17" s="2">
        <f>(B17^3/C17)*100</f>
        <v>2.8818413854748615</v>
      </c>
    </row>
    <row r="18" spans="1:10" x14ac:dyDescent="0.25">
      <c r="A18" t="s">
        <v>60</v>
      </c>
      <c r="B18">
        <v>0.86599999999999999</v>
      </c>
      <c r="C18">
        <v>25.1</v>
      </c>
      <c r="E18" s="2">
        <f>(B18^3/C18)*100</f>
        <v>2.5874975936254976</v>
      </c>
    </row>
    <row r="19" spans="1:10" x14ac:dyDescent="0.25">
      <c r="A19" t="s">
        <v>36</v>
      </c>
      <c r="B19">
        <v>0.71</v>
      </c>
      <c r="C19">
        <v>32.9</v>
      </c>
      <c r="E19" s="2">
        <f>(B19^3/C19)*100</f>
        <v>1.0878753799392098</v>
      </c>
    </row>
    <row r="20" spans="1:10" x14ac:dyDescent="0.25">
      <c r="A20" t="s">
        <v>135</v>
      </c>
      <c r="B20">
        <v>0.878</v>
      </c>
      <c r="C20">
        <v>31.3</v>
      </c>
      <c r="D20" t="s">
        <v>168</v>
      </c>
      <c r="E20" s="2">
        <f>(B20^3/C20)*100</f>
        <v>2.1624158210862618</v>
      </c>
    </row>
    <row r="21" spans="1:10" x14ac:dyDescent="0.25">
      <c r="A21" t="s">
        <v>38</v>
      </c>
      <c r="B21">
        <v>0.84599999999999997</v>
      </c>
      <c r="C21">
        <v>24.7</v>
      </c>
      <c r="E21" s="2">
        <f>(B21^3/C21)*100</f>
        <v>2.4513997408906878</v>
      </c>
    </row>
    <row r="22" spans="1:10" x14ac:dyDescent="0.25">
      <c r="A22" t="s">
        <v>35</v>
      </c>
      <c r="B22">
        <v>0.88400000000000001</v>
      </c>
      <c r="C22">
        <v>24.8</v>
      </c>
      <c r="E22" s="2">
        <f>(B22^3/C22)*100</f>
        <v>2.7855125161290322</v>
      </c>
    </row>
    <row r="23" spans="1:10" x14ac:dyDescent="0.25">
      <c r="A23" t="s">
        <v>7</v>
      </c>
      <c r="B23">
        <v>0.69399999999999995</v>
      </c>
      <c r="C23">
        <v>29.9</v>
      </c>
      <c r="E23" s="2">
        <f>(B23^3/C23)*100</f>
        <v>1.1179109832775918</v>
      </c>
      <c r="J23" s="1"/>
    </row>
    <row r="24" spans="1:10" x14ac:dyDescent="0.25">
      <c r="A24" t="s">
        <v>56</v>
      </c>
      <c r="B24">
        <v>0.77</v>
      </c>
      <c r="C24">
        <v>25.3</v>
      </c>
      <c r="E24" s="2">
        <f>(B24^3/C24)*100</f>
        <v>1.8044782608695651</v>
      </c>
    </row>
    <row r="25" spans="1:10" x14ac:dyDescent="0.25">
      <c r="A25" t="s">
        <v>132</v>
      </c>
      <c r="B25">
        <v>0.81299999999999994</v>
      </c>
      <c r="C25">
        <v>32.200000000000003</v>
      </c>
      <c r="E25" s="2">
        <f>(B25^3/C25)*100</f>
        <v>1.6688440900621115</v>
      </c>
    </row>
    <row r="26" spans="1:10" x14ac:dyDescent="0.25">
      <c r="A26" t="s">
        <v>22</v>
      </c>
      <c r="B26">
        <v>0.77100000000000002</v>
      </c>
      <c r="C26">
        <v>26</v>
      </c>
      <c r="E26" s="2">
        <f>(B26^3/C26)*100</f>
        <v>1.7627461961538464</v>
      </c>
    </row>
    <row r="27" spans="1:10" x14ac:dyDescent="0.25">
      <c r="A27" t="s">
        <v>24</v>
      </c>
      <c r="B27">
        <v>0.71099999999999997</v>
      </c>
      <c r="C27">
        <v>14.5</v>
      </c>
      <c r="E27" s="2">
        <f>(B27^3/C27)*100</f>
        <v>2.4787960758620686</v>
      </c>
    </row>
    <row r="28" spans="1:10" x14ac:dyDescent="0.25">
      <c r="A28" t="s">
        <v>19</v>
      </c>
      <c r="B28">
        <v>0.754</v>
      </c>
      <c r="C28">
        <v>24.2</v>
      </c>
      <c r="E28" s="2">
        <f>(B28^3/C28)*100</f>
        <v>1.7713267107438018</v>
      </c>
    </row>
    <row r="29" spans="1:10" x14ac:dyDescent="0.25">
      <c r="A29" t="s">
        <v>98</v>
      </c>
      <c r="B29">
        <v>0.79100000000000004</v>
      </c>
      <c r="C29">
        <v>28.9</v>
      </c>
      <c r="E29" s="2">
        <f>(B29^3/C29)*100</f>
        <v>1.7125040519031145</v>
      </c>
    </row>
    <row r="30" spans="1:10" x14ac:dyDescent="0.25">
      <c r="A30" t="s">
        <v>46</v>
      </c>
      <c r="B30">
        <v>0.73399999999999999</v>
      </c>
      <c r="C30">
        <v>22.3</v>
      </c>
      <c r="E30" s="2">
        <f>(B30^3/C30)*100</f>
        <v>1.7733045022421523</v>
      </c>
    </row>
    <row r="31" spans="1:10" x14ac:dyDescent="0.25">
      <c r="A31" t="s">
        <v>68</v>
      </c>
      <c r="B31">
        <v>0.72199999999999998</v>
      </c>
      <c r="C31">
        <v>20.399999999999999</v>
      </c>
      <c r="E31" s="2">
        <f>(B31^3/C31)*100</f>
        <v>1.8449365098039214</v>
      </c>
    </row>
    <row r="32" spans="1:10" x14ac:dyDescent="0.25">
      <c r="A32" t="s">
        <v>28</v>
      </c>
      <c r="B32">
        <v>0.74399999999999999</v>
      </c>
      <c r="C32">
        <v>18.8</v>
      </c>
      <c r="E32" s="2">
        <f>(B32^3/C32)*100</f>
        <v>2.1905892765957446</v>
      </c>
    </row>
    <row r="33" spans="1:28" x14ac:dyDescent="0.25">
      <c r="A33" t="s">
        <v>53</v>
      </c>
      <c r="B33">
        <v>0.76800000000000002</v>
      </c>
      <c r="C33">
        <v>28.9</v>
      </c>
      <c r="E33" s="2">
        <f>(B33^3/C33)*100</f>
        <v>1.5674215640138409</v>
      </c>
    </row>
    <row r="34" spans="1:28" x14ac:dyDescent="0.25">
      <c r="A34" t="s">
        <v>49</v>
      </c>
      <c r="B34">
        <v>0.67600000000000005</v>
      </c>
      <c r="C34">
        <v>34</v>
      </c>
      <c r="D34" t="s">
        <v>157</v>
      </c>
      <c r="E34" s="2">
        <f>(B34^3/C34)*100</f>
        <v>0.90857581176470603</v>
      </c>
    </row>
    <row r="35" spans="1:28" x14ac:dyDescent="0.25">
      <c r="A35" t="s">
        <v>64</v>
      </c>
      <c r="B35">
        <v>0.77600000000000002</v>
      </c>
      <c r="C35">
        <v>31.7</v>
      </c>
      <c r="D35" t="s">
        <v>160</v>
      </c>
      <c r="E35" s="2">
        <f>(B35^3/C35)*100</f>
        <v>1.4740964542586754</v>
      </c>
    </row>
    <row r="36" spans="1:28" x14ac:dyDescent="0.25">
      <c r="A36" t="s">
        <v>9</v>
      </c>
      <c r="B36">
        <v>0.85099999999999998</v>
      </c>
      <c r="C36">
        <v>31.6</v>
      </c>
      <c r="E36" s="2">
        <f>(B36^3/C36)*100</f>
        <v>1.9503007943037969</v>
      </c>
    </row>
    <row r="37" spans="1:28" x14ac:dyDescent="0.25">
      <c r="A37" t="s">
        <v>136</v>
      </c>
      <c r="B37">
        <v>0.70099999999999996</v>
      </c>
      <c r="C37">
        <v>23.4</v>
      </c>
      <c r="E37" s="2">
        <f>(B37^3/C37)*100</f>
        <v>1.4721029957264955</v>
      </c>
      <c r="Y37" s="3" t="s">
        <v>175</v>
      </c>
    </row>
    <row r="38" spans="1:28" x14ac:dyDescent="0.25">
      <c r="A38" t="s">
        <v>80</v>
      </c>
      <c r="B38">
        <v>0.84799999999999998</v>
      </c>
      <c r="C38">
        <v>17.899999999999999</v>
      </c>
      <c r="E38" s="2">
        <f>(B38^3/C38)*100</f>
        <v>3.4067049832402234</v>
      </c>
      <c r="Z38" t="s">
        <v>172</v>
      </c>
      <c r="AA38" t="s">
        <v>173</v>
      </c>
      <c r="AB38" t="s">
        <v>177</v>
      </c>
    </row>
    <row r="39" spans="1:28" x14ac:dyDescent="0.25">
      <c r="A39" t="s">
        <v>121</v>
      </c>
      <c r="B39">
        <v>0.77500000000000002</v>
      </c>
      <c r="C39">
        <v>13.4</v>
      </c>
      <c r="E39" s="2">
        <f>(B39^3/C39)*100</f>
        <v>3.473763992537314</v>
      </c>
      <c r="Y39" t="s">
        <v>140</v>
      </c>
      <c r="Z39">
        <v>0.71899999999999997</v>
      </c>
      <c r="AA39">
        <v>5.3</v>
      </c>
      <c r="AB39" s="2">
        <f>(Z39^3/AA39)*100</f>
        <v>7.0131124339622639</v>
      </c>
    </row>
    <row r="40" spans="1:28" x14ac:dyDescent="0.25">
      <c r="A40" t="s">
        <v>108</v>
      </c>
      <c r="B40">
        <v>0.65</v>
      </c>
      <c r="C40">
        <v>29.7</v>
      </c>
      <c r="D40" t="s">
        <v>149</v>
      </c>
      <c r="E40" s="2">
        <f>(B40^3/C40)*100</f>
        <v>0.92466329966329996</v>
      </c>
      <c r="Y40" t="s">
        <v>105</v>
      </c>
      <c r="Z40">
        <v>0.79900000000000004</v>
      </c>
      <c r="AA40">
        <v>9.6</v>
      </c>
      <c r="AB40" s="2">
        <f>(Z40^3/AA40)*100</f>
        <v>5.3133583229166677</v>
      </c>
    </row>
    <row r="41" spans="1:28" x14ac:dyDescent="0.25">
      <c r="A41" t="s">
        <v>20</v>
      </c>
      <c r="B41">
        <v>0.77400000000000002</v>
      </c>
      <c r="C41">
        <v>29.3</v>
      </c>
      <c r="E41" s="2">
        <f>(B41^3/C41)*100</f>
        <v>1.5825420614334471</v>
      </c>
      <c r="Y41" t="s">
        <v>27</v>
      </c>
      <c r="Z41">
        <v>0.85099999999999998</v>
      </c>
      <c r="AA41">
        <v>12</v>
      </c>
      <c r="AB41" s="2">
        <f>(Z41^3/AA41)*100</f>
        <v>5.1357920916666657</v>
      </c>
    </row>
    <row r="42" spans="1:28" x14ac:dyDescent="0.25">
      <c r="A42" t="s">
        <v>13</v>
      </c>
      <c r="B42">
        <v>0.72099999999999997</v>
      </c>
      <c r="C42">
        <v>13</v>
      </c>
      <c r="E42" s="2">
        <f>(B42^3/C42)*100</f>
        <v>2.8831181615384613</v>
      </c>
      <c r="Y42" t="s">
        <v>65</v>
      </c>
      <c r="Z42">
        <v>1.145</v>
      </c>
      <c r="AA42">
        <v>34.6</v>
      </c>
      <c r="AB42" s="2">
        <f>(Z42^3/AA42)*100</f>
        <v>4.3385075867052025</v>
      </c>
    </row>
    <row r="43" spans="1:28" x14ac:dyDescent="0.25">
      <c r="A43" t="s">
        <v>133</v>
      </c>
      <c r="B43">
        <v>0.69599999999999995</v>
      </c>
      <c r="C43">
        <v>12.2</v>
      </c>
      <c r="D43" t="s">
        <v>167</v>
      </c>
      <c r="E43" s="2">
        <f>(B43^3/C43)*100</f>
        <v>2.7635535737704915</v>
      </c>
      <c r="Y43" t="s">
        <v>21</v>
      </c>
      <c r="Z43">
        <v>0.86299999999999999</v>
      </c>
      <c r="AA43">
        <v>14.9</v>
      </c>
      <c r="AB43" s="2">
        <f>(Z43^3/AA43)*100</f>
        <v>4.3136620604026845</v>
      </c>
    </row>
    <row r="44" spans="1:28" x14ac:dyDescent="0.25">
      <c r="A44" t="s">
        <v>103</v>
      </c>
      <c r="B44">
        <v>0.86899999999999999</v>
      </c>
      <c r="C44">
        <v>27.3</v>
      </c>
      <c r="E44" s="2">
        <f>(B44^3/C44)*100</f>
        <v>2.403790875457875</v>
      </c>
      <c r="Y44" t="s">
        <v>44</v>
      </c>
      <c r="Z44">
        <v>0.70399999999999996</v>
      </c>
      <c r="AA44">
        <v>8.6999999999999993</v>
      </c>
      <c r="AB44" s="2">
        <f>(Z44^3/AA44)*100</f>
        <v>4.0105018850574714</v>
      </c>
    </row>
    <row r="45" spans="1:28" x14ac:dyDescent="0.25">
      <c r="A45" t="s">
        <v>14</v>
      </c>
      <c r="B45">
        <v>0.75600000000000001</v>
      </c>
      <c r="C45">
        <v>12.8</v>
      </c>
      <c r="E45" s="2">
        <f>(B45^3/C45)*100</f>
        <v>3.3756344999999999</v>
      </c>
      <c r="Y45" t="s">
        <v>130</v>
      </c>
      <c r="Z45">
        <v>0.73899999999999999</v>
      </c>
      <c r="AA45">
        <v>11.2</v>
      </c>
      <c r="AB45" s="2">
        <f>(Z45^3/AA45)*100</f>
        <v>3.603423383928571</v>
      </c>
    </row>
    <row r="46" spans="1:28" x14ac:dyDescent="0.25">
      <c r="A46" t="s">
        <v>39</v>
      </c>
      <c r="B46">
        <v>0.74199999999999999</v>
      </c>
      <c r="C46">
        <v>17.5</v>
      </c>
      <c r="E46" s="2">
        <f>(B46^3/C46)*100</f>
        <v>2.3343913599999997</v>
      </c>
      <c r="Y46" t="s">
        <v>96</v>
      </c>
      <c r="Z46">
        <v>0.92100000000000004</v>
      </c>
      <c r="AA46">
        <v>22.4</v>
      </c>
      <c r="AB46" s="2">
        <f>(Z46^3/AA46)*100</f>
        <v>3.4876337544642864</v>
      </c>
    </row>
    <row r="47" spans="1:28" x14ac:dyDescent="0.25">
      <c r="A47" t="s">
        <v>40</v>
      </c>
      <c r="B47">
        <v>0.66500000000000004</v>
      </c>
      <c r="C47">
        <v>30.3</v>
      </c>
      <c r="E47" s="2">
        <f>(B47^3/C47)*100</f>
        <v>0.97055981848184825</v>
      </c>
      <c r="Y47" t="s">
        <v>121</v>
      </c>
      <c r="Z47">
        <v>0.77500000000000002</v>
      </c>
      <c r="AA47">
        <v>13.4</v>
      </c>
      <c r="AB47" s="2">
        <f>(Z47^3/AA47)*100</f>
        <v>3.473763992537314</v>
      </c>
    </row>
    <row r="48" spans="1:28" x14ac:dyDescent="0.25">
      <c r="A48" t="s">
        <v>89</v>
      </c>
      <c r="B48">
        <v>0.70099999999999996</v>
      </c>
      <c r="C48">
        <v>21.7</v>
      </c>
      <c r="E48" s="2">
        <f>(B48^3/C48)*100</f>
        <v>1.5874290368663593</v>
      </c>
      <c r="Y48" t="s">
        <v>104</v>
      </c>
      <c r="Z48">
        <v>0.8</v>
      </c>
      <c r="AA48">
        <v>15</v>
      </c>
      <c r="AB48" s="2">
        <f>(Z48^3/AA48)*100</f>
        <v>3.413333333333334</v>
      </c>
    </row>
    <row r="49" spans="1:28" x14ac:dyDescent="0.25">
      <c r="A49" t="s">
        <v>104</v>
      </c>
      <c r="B49">
        <v>0.8</v>
      </c>
      <c r="C49">
        <v>15</v>
      </c>
      <c r="E49" s="2">
        <f>(B49^3/C49)*100</f>
        <v>3.413333333333334</v>
      </c>
    </row>
    <row r="50" spans="1:28" x14ac:dyDescent="0.25">
      <c r="A50" t="s">
        <v>57</v>
      </c>
      <c r="B50">
        <v>0.73099999999999998</v>
      </c>
      <c r="C50">
        <v>20.5</v>
      </c>
      <c r="E50" s="2">
        <f>(B50^3/C50)*100</f>
        <v>1.9054531268292683</v>
      </c>
      <c r="Y50" s="3" t="s">
        <v>176</v>
      </c>
    </row>
    <row r="51" spans="1:28" x14ac:dyDescent="0.25">
      <c r="A51" t="s">
        <v>126</v>
      </c>
      <c r="B51">
        <v>0.84299999999999997</v>
      </c>
      <c r="C51">
        <v>32</v>
      </c>
      <c r="E51" s="2">
        <f>(B51^3/C51)*100</f>
        <v>1.8721159593749999</v>
      </c>
      <c r="Z51" t="s">
        <v>172</v>
      </c>
      <c r="AA51" t="s">
        <v>173</v>
      </c>
      <c r="AB51" t="s">
        <v>177</v>
      </c>
    </row>
    <row r="52" spans="1:28" x14ac:dyDescent="0.25">
      <c r="A52" t="s">
        <v>0</v>
      </c>
      <c r="B52">
        <v>0.80600000000000005</v>
      </c>
      <c r="C52">
        <v>30.9</v>
      </c>
      <c r="E52" s="2">
        <f>(B52^3/C52)*100</f>
        <v>1.6945197928802593</v>
      </c>
      <c r="Y52" t="s">
        <v>49</v>
      </c>
      <c r="Z52">
        <v>0.67600000000000005</v>
      </c>
      <c r="AA52">
        <v>34</v>
      </c>
      <c r="AB52" s="2">
        <f>(Z52^3/AA52)*100</f>
        <v>0.90857581176470603</v>
      </c>
    </row>
    <row r="53" spans="1:28" x14ac:dyDescent="0.25">
      <c r="A53" t="s">
        <v>11</v>
      </c>
      <c r="B53">
        <v>0.81200000000000006</v>
      </c>
      <c r="C53">
        <v>22.7</v>
      </c>
      <c r="E53" s="2">
        <f>(B53^3/C53)*100</f>
        <v>2.3585344845814982</v>
      </c>
      <c r="Y53" t="s">
        <v>108</v>
      </c>
      <c r="Z53">
        <v>0.65</v>
      </c>
      <c r="AA53">
        <v>29.7</v>
      </c>
      <c r="AB53" s="2">
        <f>(Z53^3/AA53)*100</f>
        <v>0.92466329966329996</v>
      </c>
    </row>
    <row r="54" spans="1:28" x14ac:dyDescent="0.25">
      <c r="A54" t="s">
        <v>125</v>
      </c>
      <c r="B54">
        <v>0.84799999999999998</v>
      </c>
      <c r="C54">
        <v>21.5</v>
      </c>
      <c r="E54" s="2">
        <f>(B54^3/C54)*100</f>
        <v>2.8362799627906976</v>
      </c>
      <c r="Y54" t="s">
        <v>86</v>
      </c>
      <c r="Z54">
        <v>0.64300000000000002</v>
      </c>
      <c r="AA54">
        <v>28.5</v>
      </c>
      <c r="AB54" s="2">
        <f>(Z54^3/AA54)*100</f>
        <v>0.93279897192982464</v>
      </c>
    </row>
    <row r="55" spans="1:28" x14ac:dyDescent="0.25">
      <c r="A55" t="s">
        <v>23</v>
      </c>
      <c r="B55">
        <v>0.71299999999999997</v>
      </c>
      <c r="C55">
        <v>20.2</v>
      </c>
      <c r="E55" s="2">
        <f>(B55^3/C55)*100</f>
        <v>1.7943915693069306</v>
      </c>
      <c r="Y55" t="s">
        <v>97</v>
      </c>
      <c r="Z55">
        <v>0.69299999999999995</v>
      </c>
      <c r="AA55">
        <v>35.200000000000003</v>
      </c>
      <c r="AB55" s="2">
        <f>(Z55^3/AA55)*100</f>
        <v>0.94549021874999961</v>
      </c>
    </row>
    <row r="56" spans="1:28" x14ac:dyDescent="0.25">
      <c r="A56" t="s">
        <v>99</v>
      </c>
      <c r="B56">
        <v>0.76200000000000001</v>
      </c>
      <c r="C56">
        <v>24.6</v>
      </c>
      <c r="E56" s="2">
        <f>(B56^3/C56)*100</f>
        <v>1.7985801951219516</v>
      </c>
      <c r="Y56" t="s">
        <v>40</v>
      </c>
      <c r="Z56">
        <v>0.66500000000000004</v>
      </c>
      <c r="AA56">
        <v>30.3</v>
      </c>
      <c r="AB56" s="2">
        <f>(Z56^3/AA56)*100</f>
        <v>0.97055981848184825</v>
      </c>
    </row>
    <row r="57" spans="1:28" x14ac:dyDescent="0.25">
      <c r="A57" t="s">
        <v>115</v>
      </c>
      <c r="B57">
        <v>0.84399999999999997</v>
      </c>
      <c r="C57">
        <v>30.7</v>
      </c>
      <c r="E57" s="2">
        <f>(B57^3/C57)*100</f>
        <v>1.9583439218241041</v>
      </c>
      <c r="Y57" t="s">
        <v>55</v>
      </c>
      <c r="Z57">
        <v>0.59599999999999997</v>
      </c>
      <c r="AA57">
        <v>19.899999999999999</v>
      </c>
      <c r="AB57" s="2">
        <f>(Z57^3/AA57)*100</f>
        <v>1.0638629949748744</v>
      </c>
    </row>
    <row r="58" spans="1:28" x14ac:dyDescent="0.25">
      <c r="A58" t="s">
        <v>77</v>
      </c>
      <c r="B58">
        <v>0.67700000000000005</v>
      </c>
      <c r="C58">
        <v>24.4</v>
      </c>
      <c r="E58" s="2">
        <f>(B58^3/C58)*100</f>
        <v>1.2716751352459019</v>
      </c>
      <c r="Y58" t="s">
        <v>36</v>
      </c>
      <c r="Z58">
        <v>0.71</v>
      </c>
      <c r="AA58">
        <v>32.9</v>
      </c>
      <c r="AB58" s="2">
        <f>(Z58^3/AA58)*100</f>
        <v>1.0878753799392098</v>
      </c>
    </row>
    <row r="59" spans="1:28" x14ac:dyDescent="0.25">
      <c r="A59" t="s">
        <v>55</v>
      </c>
      <c r="B59">
        <v>0.59599999999999997</v>
      </c>
      <c r="C59">
        <v>19.899999999999999</v>
      </c>
      <c r="D59" t="s">
        <v>153</v>
      </c>
      <c r="E59" s="2">
        <f>(B59^3/C59)*100</f>
        <v>1.0638629949748744</v>
      </c>
      <c r="Y59" t="s">
        <v>141</v>
      </c>
      <c r="Z59">
        <v>0.622</v>
      </c>
      <c r="AA59">
        <v>21.9</v>
      </c>
      <c r="AB59" s="2">
        <f>(Z59^3/AA59)*100</f>
        <v>1.0988212237442923</v>
      </c>
    </row>
    <row r="60" spans="1:28" x14ac:dyDescent="0.25">
      <c r="A60" t="s">
        <v>37</v>
      </c>
      <c r="B60">
        <v>0.78700000000000003</v>
      </c>
      <c r="C60">
        <v>25.1</v>
      </c>
      <c r="E60" s="2">
        <f>(B60^3/C60)*100</f>
        <v>1.9420055896414343</v>
      </c>
      <c r="Y60" t="s">
        <v>7</v>
      </c>
      <c r="Z60">
        <v>0.69399999999999995</v>
      </c>
      <c r="AA60">
        <v>29.9</v>
      </c>
      <c r="AB60" s="2">
        <f>(Z60^3/AA60)*100</f>
        <v>1.1179109832775918</v>
      </c>
    </row>
    <row r="61" spans="1:28" x14ac:dyDescent="0.25">
      <c r="A61" t="s">
        <v>106</v>
      </c>
      <c r="B61">
        <v>0.73799999999999999</v>
      </c>
      <c r="C61">
        <v>31.9</v>
      </c>
      <c r="E61" s="2">
        <f>(B61^3/C61)*100</f>
        <v>1.2600227962382446</v>
      </c>
      <c r="Y61" t="s">
        <v>142</v>
      </c>
      <c r="Z61">
        <v>0.66300000000000003</v>
      </c>
      <c r="AA61">
        <v>25.1</v>
      </c>
      <c r="AB61" s="2">
        <f>(Z61^3/AA61)*100</f>
        <v>1.1610926175298806</v>
      </c>
    </row>
    <row r="62" spans="1:28" x14ac:dyDescent="0.25">
      <c r="A62" t="s">
        <v>130</v>
      </c>
      <c r="B62">
        <v>0.73899999999999999</v>
      </c>
      <c r="C62">
        <v>11.2</v>
      </c>
      <c r="D62" t="s">
        <v>166</v>
      </c>
      <c r="E62" s="2">
        <f>(B62^3/C62)*100</f>
        <v>3.603423383928571</v>
      </c>
    </row>
    <row r="63" spans="1:28" x14ac:dyDescent="0.25">
      <c r="A63" t="s">
        <v>138</v>
      </c>
      <c r="B63">
        <v>0.68899999999999995</v>
      </c>
      <c r="C63">
        <v>24.5</v>
      </c>
      <c r="E63" s="2">
        <f>(B63^3/C63)*100</f>
        <v>1.3350317102040814</v>
      </c>
    </row>
    <row r="64" spans="1:28" x14ac:dyDescent="0.25">
      <c r="A64" t="s">
        <v>93</v>
      </c>
      <c r="B64">
        <v>0.66900000000000004</v>
      </c>
      <c r="C64">
        <v>19.899999999999999</v>
      </c>
      <c r="E64" s="2">
        <f>(B64^3/C64)*100</f>
        <v>1.5046146180904525</v>
      </c>
    </row>
    <row r="65" spans="1:5" x14ac:dyDescent="0.25">
      <c r="A65" t="s">
        <v>65</v>
      </c>
      <c r="B65">
        <v>1.145</v>
      </c>
      <c r="C65">
        <v>34.6</v>
      </c>
      <c r="D65" t="s">
        <v>145</v>
      </c>
      <c r="E65" s="2">
        <f>(B65^3/C65)*100</f>
        <v>4.3385075867052025</v>
      </c>
    </row>
    <row r="66" spans="1:5" x14ac:dyDescent="0.25">
      <c r="A66" t="s">
        <v>16</v>
      </c>
      <c r="B66">
        <v>0.68400000000000005</v>
      </c>
      <c r="C66">
        <v>25.4</v>
      </c>
      <c r="E66" s="2">
        <f>(B66^3/C66)*100</f>
        <v>1.2598956850393703</v>
      </c>
    </row>
    <row r="67" spans="1:5" x14ac:dyDescent="0.25">
      <c r="A67" t="s">
        <v>79</v>
      </c>
      <c r="B67">
        <v>0.76900000000000002</v>
      </c>
      <c r="C67">
        <v>18.5</v>
      </c>
      <c r="E67" s="2">
        <f>(B67^3/C67)*100</f>
        <v>2.4581438324324325</v>
      </c>
    </row>
    <row r="68" spans="1:5" x14ac:dyDescent="0.25">
      <c r="A68" t="s">
        <v>44</v>
      </c>
      <c r="B68">
        <v>0.70399999999999996</v>
      </c>
      <c r="C68">
        <v>8.6999999999999993</v>
      </c>
      <c r="D68" t="s">
        <v>156</v>
      </c>
      <c r="E68" s="2">
        <f>(B68^3/C68)*100</f>
        <v>4.0105018850574714</v>
      </c>
    </row>
    <row r="69" spans="1:5" x14ac:dyDescent="0.25">
      <c r="A69" t="s">
        <v>71</v>
      </c>
      <c r="B69">
        <v>0.86099999999999999</v>
      </c>
      <c r="C69">
        <v>25.1</v>
      </c>
      <c r="E69" s="2">
        <f>(B69^3/C69)*100</f>
        <v>2.5429377729083664</v>
      </c>
    </row>
    <row r="70" spans="1:5" x14ac:dyDescent="0.25">
      <c r="A70" t="s">
        <v>139</v>
      </c>
      <c r="B70">
        <v>0.77500000000000002</v>
      </c>
      <c r="C70">
        <v>26.3</v>
      </c>
      <c r="E70" s="2">
        <f>(B70^3/C70)*100</f>
        <v>1.7699025665399244</v>
      </c>
    </row>
    <row r="71" spans="1:5" x14ac:dyDescent="0.25">
      <c r="A71" t="s">
        <v>137</v>
      </c>
      <c r="B71">
        <v>0.72699999999999998</v>
      </c>
      <c r="C71">
        <v>29.8</v>
      </c>
      <c r="E71" s="2">
        <f>(B71^3/C71)*100</f>
        <v>1.2893979295302009</v>
      </c>
    </row>
    <row r="72" spans="1:5" x14ac:dyDescent="0.25">
      <c r="A72" t="s">
        <v>72</v>
      </c>
      <c r="B72">
        <v>0.65500000000000003</v>
      </c>
      <c r="C72">
        <v>24</v>
      </c>
      <c r="E72" s="2">
        <f>(B72^3/C72)*100</f>
        <v>1.170880729166667</v>
      </c>
    </row>
    <row r="73" spans="1:5" x14ac:dyDescent="0.25">
      <c r="A73" t="s">
        <v>117</v>
      </c>
      <c r="B73">
        <v>0.73399999999999999</v>
      </c>
      <c r="C73">
        <v>13.1</v>
      </c>
      <c r="E73" s="2">
        <f>(B73^3/C73)*100</f>
        <v>3.0186786564885497</v>
      </c>
    </row>
    <row r="74" spans="1:5" x14ac:dyDescent="0.25">
      <c r="A74" t="s">
        <v>131</v>
      </c>
      <c r="B74">
        <v>0.81200000000000006</v>
      </c>
      <c r="C74">
        <v>20.8</v>
      </c>
      <c r="E74" s="2">
        <f>(B74^3/C74)*100</f>
        <v>2.5739775384615386</v>
      </c>
    </row>
    <row r="75" spans="1:5" x14ac:dyDescent="0.25">
      <c r="A75" t="s">
        <v>48</v>
      </c>
      <c r="B75">
        <v>0.67300000000000004</v>
      </c>
      <c r="C75">
        <v>18.899999999999999</v>
      </c>
      <c r="E75" s="2">
        <f>(B75^3/C75)*100</f>
        <v>1.6128106719576725</v>
      </c>
    </row>
    <row r="76" spans="1:5" x14ac:dyDescent="0.25">
      <c r="A76" t="s">
        <v>87</v>
      </c>
      <c r="B76">
        <v>0.78400000000000003</v>
      </c>
      <c r="C76">
        <v>33.4</v>
      </c>
      <c r="E76" s="2">
        <f>(B76^3/C76)*100</f>
        <v>1.4427853413173657</v>
      </c>
    </row>
    <row r="77" spans="1:5" x14ac:dyDescent="0.25">
      <c r="A77" t="s">
        <v>127</v>
      </c>
      <c r="B77">
        <v>0.68799999999999994</v>
      </c>
      <c r="C77">
        <v>24.7</v>
      </c>
      <c r="E77" s="2">
        <f>(B77^3/C77)*100</f>
        <v>1.3184642591093114</v>
      </c>
    </row>
    <row r="78" spans="1:5" x14ac:dyDescent="0.25">
      <c r="A78" t="s">
        <v>109</v>
      </c>
      <c r="B78">
        <v>0.72399999999999998</v>
      </c>
      <c r="C78">
        <v>21.6</v>
      </c>
      <c r="E78" s="2">
        <f>(B78^3/C78)*100</f>
        <v>1.756960296296296</v>
      </c>
    </row>
    <row r="79" spans="1:5" x14ac:dyDescent="0.25">
      <c r="A79" t="s">
        <v>74</v>
      </c>
      <c r="B79">
        <v>0.79500000000000004</v>
      </c>
      <c r="C79">
        <v>26.1</v>
      </c>
      <c r="E79" s="2">
        <f>(B79^3/C79)*100</f>
        <v>1.9251336206896557</v>
      </c>
    </row>
    <row r="80" spans="1:5" x14ac:dyDescent="0.25">
      <c r="A80" t="s">
        <v>5</v>
      </c>
      <c r="B80">
        <v>0.76800000000000002</v>
      </c>
      <c r="C80">
        <v>27.7</v>
      </c>
      <c r="E80" s="2">
        <f>(B80^3/C80)*100</f>
        <v>1.6353243032490976</v>
      </c>
    </row>
    <row r="81" spans="1:5" x14ac:dyDescent="0.25">
      <c r="A81" t="s">
        <v>110</v>
      </c>
      <c r="B81">
        <v>0.89300000000000002</v>
      </c>
      <c r="C81">
        <v>22.5</v>
      </c>
      <c r="D81" t="s">
        <v>150</v>
      </c>
      <c r="E81" s="2">
        <f>(B81^3/C81)*100</f>
        <v>3.1649864755555557</v>
      </c>
    </row>
    <row r="82" spans="1:5" x14ac:dyDescent="0.25">
      <c r="A82" t="s">
        <v>42</v>
      </c>
      <c r="B82">
        <v>0.7</v>
      </c>
      <c r="C82">
        <v>26.2</v>
      </c>
      <c r="E82" s="2">
        <f>(B82^3/C82)*100</f>
        <v>1.3091603053435112</v>
      </c>
    </row>
    <row r="83" spans="1:5" x14ac:dyDescent="0.25">
      <c r="A83" t="s">
        <v>47</v>
      </c>
      <c r="B83">
        <v>0.77100000000000002</v>
      </c>
      <c r="C83">
        <v>22.8</v>
      </c>
      <c r="E83" s="2">
        <f>(B83^3/C83)*100</f>
        <v>2.0101491710526318</v>
      </c>
    </row>
    <row r="84" spans="1:5" x14ac:dyDescent="0.25">
      <c r="A84" t="s">
        <v>86</v>
      </c>
      <c r="B84">
        <v>0.64300000000000002</v>
      </c>
      <c r="C84">
        <v>28.5</v>
      </c>
      <c r="D84" t="s">
        <v>163</v>
      </c>
      <c r="E84" s="2">
        <f>(B84^3/C84)*100</f>
        <v>0.93279897192982464</v>
      </c>
    </row>
    <row r="85" spans="1:5" x14ac:dyDescent="0.25">
      <c r="A85" t="s">
        <v>97</v>
      </c>
      <c r="B85">
        <v>0.69299999999999995</v>
      </c>
      <c r="C85">
        <v>35.200000000000003</v>
      </c>
      <c r="D85" t="s">
        <v>152</v>
      </c>
      <c r="E85" s="2">
        <f>(B85^3/C85)*100</f>
        <v>0.94549021874999961</v>
      </c>
    </row>
    <row r="86" spans="1:5" x14ac:dyDescent="0.25">
      <c r="A86" t="s">
        <v>118</v>
      </c>
      <c r="B86">
        <v>0.64900000000000002</v>
      </c>
      <c r="C86">
        <v>13</v>
      </c>
      <c r="D86" t="s">
        <v>151</v>
      </c>
      <c r="E86" s="2">
        <f>(B86^3/C86)*100</f>
        <v>2.1027649923076925</v>
      </c>
    </row>
    <row r="87" spans="1:5" x14ac:dyDescent="0.25">
      <c r="A87" t="s">
        <v>30</v>
      </c>
      <c r="B87">
        <v>0.81499999999999995</v>
      </c>
      <c r="C87">
        <v>22.1</v>
      </c>
      <c r="E87" s="2">
        <f>(B87^3/C87)*100</f>
        <v>2.4495175339366511</v>
      </c>
    </row>
    <row r="88" spans="1:5" x14ac:dyDescent="0.25">
      <c r="A88" t="s">
        <v>75</v>
      </c>
      <c r="B88">
        <v>0.79300000000000004</v>
      </c>
      <c r="C88">
        <v>29.1</v>
      </c>
      <c r="E88" s="2">
        <f>(B88^3/C88)*100</f>
        <v>1.7136675498281788</v>
      </c>
    </row>
    <row r="89" spans="1:5" x14ac:dyDescent="0.25">
      <c r="A89" t="s">
        <v>124</v>
      </c>
      <c r="B89">
        <v>0.76</v>
      </c>
      <c r="C89">
        <v>23.8</v>
      </c>
      <c r="E89" s="2">
        <f>(B89^3/C89)*100</f>
        <v>1.8444369747899161</v>
      </c>
    </row>
    <row r="90" spans="1:5" x14ac:dyDescent="0.25">
      <c r="A90" t="s">
        <v>41</v>
      </c>
      <c r="B90">
        <v>0.68600000000000005</v>
      </c>
      <c r="C90">
        <v>20.9</v>
      </c>
      <c r="E90" s="2">
        <f>(B90^3/C90)*100</f>
        <v>1.5446356746411487</v>
      </c>
    </row>
    <row r="91" spans="1:5" x14ac:dyDescent="0.25">
      <c r="A91" t="s">
        <v>29</v>
      </c>
      <c r="B91">
        <v>0.80300000000000005</v>
      </c>
      <c r="C91">
        <v>23.3</v>
      </c>
      <c r="E91" s="2">
        <f>(B91^3/C91)*100</f>
        <v>2.2222387424892709</v>
      </c>
    </row>
    <row r="92" spans="1:5" x14ac:dyDescent="0.25">
      <c r="A92" t="s">
        <v>4</v>
      </c>
      <c r="B92">
        <v>1.014</v>
      </c>
      <c r="C92">
        <v>33.4</v>
      </c>
      <c r="D92" t="s">
        <v>146</v>
      </c>
      <c r="E92" s="2">
        <f>(B92^3/C92)*100</f>
        <v>3.1215291736526951</v>
      </c>
    </row>
    <row r="93" spans="1:5" x14ac:dyDescent="0.25">
      <c r="A93" t="s">
        <v>83</v>
      </c>
      <c r="B93">
        <v>0.85</v>
      </c>
      <c r="C93">
        <v>26.2</v>
      </c>
      <c r="E93" s="2">
        <f>(B93^3/C93)*100</f>
        <v>2.3439885496183201</v>
      </c>
    </row>
    <row r="94" spans="1:5" x14ac:dyDescent="0.25">
      <c r="A94" t="s">
        <v>43</v>
      </c>
      <c r="B94">
        <v>0.59299999999999997</v>
      </c>
      <c r="C94">
        <v>16</v>
      </c>
      <c r="D94" t="s">
        <v>155</v>
      </c>
      <c r="E94" s="2">
        <f>(B94^3/C94)*100</f>
        <v>1.3032991062499999</v>
      </c>
    </row>
    <row r="95" spans="1:5" x14ac:dyDescent="0.25">
      <c r="A95" t="s">
        <v>6</v>
      </c>
      <c r="B95">
        <v>0.755</v>
      </c>
      <c r="C95">
        <v>25.8</v>
      </c>
      <c r="E95" s="2">
        <f>(B95^3/C95)*100</f>
        <v>1.6680964147286821</v>
      </c>
    </row>
    <row r="96" spans="1:5" x14ac:dyDescent="0.25">
      <c r="A96" t="s">
        <v>129</v>
      </c>
      <c r="B96">
        <v>0.77400000000000002</v>
      </c>
      <c r="C96">
        <v>21.5</v>
      </c>
      <c r="E96" s="2">
        <f>(B96^3/C96)*100</f>
        <v>2.1566736000000004</v>
      </c>
    </row>
    <row r="97" spans="1:5" x14ac:dyDescent="0.25">
      <c r="A97" t="s">
        <v>25</v>
      </c>
      <c r="B97">
        <v>0.79800000000000004</v>
      </c>
      <c r="C97">
        <v>18.2</v>
      </c>
      <c r="E97" s="2">
        <f>(B97^3/C97)*100</f>
        <v>2.7921406153846156</v>
      </c>
    </row>
    <row r="98" spans="1:5" x14ac:dyDescent="0.25">
      <c r="A98" t="s">
        <v>3</v>
      </c>
      <c r="B98">
        <v>0.84</v>
      </c>
      <c r="C98">
        <v>27.1</v>
      </c>
      <c r="E98" s="2">
        <f>(B98^3/C98)*100</f>
        <v>2.1870996309963093</v>
      </c>
    </row>
    <row r="99" spans="1:5" x14ac:dyDescent="0.25">
      <c r="A99" t="s">
        <v>27</v>
      </c>
      <c r="B99">
        <v>0.85099999999999998</v>
      </c>
      <c r="C99">
        <v>12</v>
      </c>
      <c r="D99" t="s">
        <v>154</v>
      </c>
      <c r="E99" s="2">
        <f>(B99^3/C99)*100</f>
        <v>5.1357920916666657</v>
      </c>
    </row>
    <row r="100" spans="1:5" x14ac:dyDescent="0.25">
      <c r="A100" t="s">
        <v>59</v>
      </c>
      <c r="B100">
        <v>0.73</v>
      </c>
      <c r="C100">
        <v>26.9</v>
      </c>
      <c r="E100" s="2">
        <f>(B100^3/C100)*100</f>
        <v>1.4461598513011151</v>
      </c>
    </row>
    <row r="101" spans="1:5" x14ac:dyDescent="0.25">
      <c r="A101" t="s">
        <v>34</v>
      </c>
      <c r="B101">
        <v>0.82099999999999995</v>
      </c>
      <c r="C101">
        <v>23.3</v>
      </c>
      <c r="E101" s="2">
        <f>(B101^3/C101)*100</f>
        <v>2.3750543390557937</v>
      </c>
    </row>
    <row r="102" spans="1:5" x14ac:dyDescent="0.25">
      <c r="A102" t="s">
        <v>92</v>
      </c>
      <c r="B102">
        <v>0.70899999999999996</v>
      </c>
      <c r="C102">
        <v>26.8</v>
      </c>
      <c r="E102" s="2">
        <f>(B102^3/C102)*100</f>
        <v>1.3298538395522383</v>
      </c>
    </row>
    <row r="103" spans="1:5" x14ac:dyDescent="0.25">
      <c r="A103" t="s">
        <v>78</v>
      </c>
      <c r="B103">
        <v>0.94799999999999995</v>
      </c>
      <c r="C103">
        <v>31.5</v>
      </c>
      <c r="D103" t="s">
        <v>162</v>
      </c>
      <c r="E103" s="2">
        <f>(B103^3/C103)*100</f>
        <v>2.7046710857142853</v>
      </c>
    </row>
    <row r="104" spans="1:5" x14ac:dyDescent="0.25">
      <c r="A104" t="s">
        <v>18</v>
      </c>
      <c r="B104">
        <v>0.7</v>
      </c>
      <c r="C104">
        <v>25.5</v>
      </c>
      <c r="E104" s="2">
        <f>(B104^3/C104)*100</f>
        <v>1.3450980392156859</v>
      </c>
    </row>
    <row r="105" spans="1:5" x14ac:dyDescent="0.25">
      <c r="A105" t="s">
        <v>21</v>
      </c>
      <c r="B105">
        <v>0.86299999999999999</v>
      </c>
      <c r="C105">
        <v>14.9</v>
      </c>
      <c r="D105" t="s">
        <v>165</v>
      </c>
      <c r="E105" s="2">
        <f>(B105^3/C105)*100</f>
        <v>4.3136620604026845</v>
      </c>
    </row>
    <row r="106" spans="1:5" x14ac:dyDescent="0.25">
      <c r="A106" t="s">
        <v>91</v>
      </c>
      <c r="B106">
        <v>0.72799999999999998</v>
      </c>
      <c r="C106">
        <v>25.3</v>
      </c>
      <c r="E106" s="2">
        <f>(B106^3/C106)*100</f>
        <v>1.5250132490118575</v>
      </c>
    </row>
    <row r="107" spans="1:5" x14ac:dyDescent="0.25">
      <c r="A107" t="s">
        <v>128</v>
      </c>
      <c r="B107">
        <v>0.69899999999999995</v>
      </c>
      <c r="C107">
        <v>24.3</v>
      </c>
      <c r="E107" s="2">
        <f>(B107^3/C107)*100</f>
        <v>1.4054818888888885</v>
      </c>
    </row>
    <row r="108" spans="1:5" x14ac:dyDescent="0.25">
      <c r="A108" t="s">
        <v>141</v>
      </c>
      <c r="B108">
        <v>0.622</v>
      </c>
      <c r="C108">
        <v>21.9</v>
      </c>
      <c r="D108" t="s">
        <v>169</v>
      </c>
      <c r="E108" s="2">
        <f>(B108^3/C108)*100</f>
        <v>1.0988212237442923</v>
      </c>
    </row>
    <row r="109" spans="1:5" x14ac:dyDescent="0.25">
      <c r="A109" t="s">
        <v>69</v>
      </c>
      <c r="B109">
        <v>0.72</v>
      </c>
      <c r="C109">
        <v>29.4</v>
      </c>
      <c r="E109" s="2">
        <f>(B109^3/C109)*100</f>
        <v>1.2695510204081633</v>
      </c>
    </row>
    <row r="110" spans="1:5" x14ac:dyDescent="0.25">
      <c r="A110" t="s">
        <v>70</v>
      </c>
      <c r="B110">
        <v>0.83599999999999997</v>
      </c>
      <c r="C110">
        <v>21.2</v>
      </c>
      <c r="E110" s="2">
        <f>(B110^3/C110)*100</f>
        <v>2.7560238490566031</v>
      </c>
    </row>
    <row r="111" spans="1:5" x14ac:dyDescent="0.25">
      <c r="A111" t="s">
        <v>100</v>
      </c>
      <c r="B111">
        <v>0.79800000000000004</v>
      </c>
      <c r="C111">
        <v>28.2</v>
      </c>
      <c r="E111" s="2">
        <f>(B111^3/C111)*100</f>
        <v>1.8020198297872343</v>
      </c>
    </row>
    <row r="112" spans="1:5" x14ac:dyDescent="0.25">
      <c r="A112" t="s">
        <v>102</v>
      </c>
      <c r="B112">
        <v>0.81399999999999995</v>
      </c>
      <c r="C112">
        <v>30.8</v>
      </c>
      <c r="E112" s="2">
        <f>(B112^3/C112)*100</f>
        <v>1.751146571428571</v>
      </c>
    </row>
    <row r="113" spans="1:5" x14ac:dyDescent="0.25">
      <c r="A113" t="s">
        <v>67</v>
      </c>
      <c r="B113">
        <v>0.74199999999999999</v>
      </c>
      <c r="C113">
        <v>15</v>
      </c>
      <c r="E113" s="2">
        <f>(B113^3/C113)*100</f>
        <v>2.7234565866666665</v>
      </c>
    </row>
    <row r="114" spans="1:5" x14ac:dyDescent="0.25">
      <c r="A114" t="s">
        <v>51</v>
      </c>
      <c r="B114">
        <v>0.92800000000000005</v>
      </c>
      <c r="C114">
        <v>33.1</v>
      </c>
      <c r="D114" t="s">
        <v>159</v>
      </c>
      <c r="E114" s="2">
        <f>(B114^3/C114)*100</f>
        <v>2.414437317220544</v>
      </c>
    </row>
    <row r="115" spans="1:5" x14ac:dyDescent="0.25">
      <c r="A115" t="s">
        <v>85</v>
      </c>
      <c r="B115">
        <v>0.66900000000000004</v>
      </c>
      <c r="C115">
        <v>22.6</v>
      </c>
      <c r="E115" s="2">
        <f>(B115^3/C115)*100</f>
        <v>1.3248597743362833</v>
      </c>
    </row>
    <row r="116" spans="1:5" x14ac:dyDescent="0.25">
      <c r="A116" t="s">
        <v>114</v>
      </c>
      <c r="B116">
        <v>0.746</v>
      </c>
      <c r="C116">
        <v>23</v>
      </c>
      <c r="E116" s="2">
        <f>(B116^3/C116)*100</f>
        <v>1.8050475478260868</v>
      </c>
    </row>
    <row r="117" spans="1:5" x14ac:dyDescent="0.25">
      <c r="A117" t="s">
        <v>73</v>
      </c>
      <c r="B117">
        <v>0.70099999999999996</v>
      </c>
      <c r="C117">
        <v>19.600000000000001</v>
      </c>
      <c r="E117" s="2">
        <f>(B117^3/C117)*100</f>
        <v>1.7575107193877546</v>
      </c>
    </row>
    <row r="118" spans="1:5" x14ac:dyDescent="0.25">
      <c r="A118" t="s">
        <v>66</v>
      </c>
      <c r="B118">
        <v>0.82</v>
      </c>
      <c r="C118">
        <v>25.4</v>
      </c>
      <c r="E118" s="2">
        <f>(B118^3/C118)*100</f>
        <v>2.1707401574803145</v>
      </c>
    </row>
    <row r="119" spans="1:5" x14ac:dyDescent="0.25">
      <c r="A119" t="s">
        <v>1</v>
      </c>
      <c r="B119">
        <v>0.72699999999999998</v>
      </c>
      <c r="C119">
        <v>23.5</v>
      </c>
      <c r="E119" s="2">
        <f>(B119^3/C119)*100</f>
        <v>1.6350663106382977</v>
      </c>
    </row>
    <row r="120" spans="1:5" x14ac:dyDescent="0.25">
      <c r="A120" t="s">
        <v>96</v>
      </c>
      <c r="B120">
        <v>0.92100000000000004</v>
      </c>
      <c r="C120">
        <v>22.4</v>
      </c>
      <c r="D120" t="s">
        <v>164</v>
      </c>
      <c r="E120" s="2">
        <f>(B120^3/C120)*100</f>
        <v>3.4876337544642864</v>
      </c>
    </row>
    <row r="121" spans="1:5" x14ac:dyDescent="0.25">
      <c r="A121" t="s">
        <v>62</v>
      </c>
      <c r="B121">
        <v>0.95899999999999996</v>
      </c>
      <c r="C121">
        <v>26.1</v>
      </c>
      <c r="D121" t="s">
        <v>161</v>
      </c>
      <c r="E121" s="2">
        <f>(B121^3/C121)*100</f>
        <v>3.3792110306513403</v>
      </c>
    </row>
    <row r="122" spans="1:5" x14ac:dyDescent="0.25">
      <c r="A122" t="s">
        <v>45</v>
      </c>
      <c r="B122">
        <v>0.72299999999999998</v>
      </c>
      <c r="C122">
        <v>25</v>
      </c>
      <c r="E122" s="2">
        <f>(B122^3/C122)*100</f>
        <v>1.511732268</v>
      </c>
    </row>
    <row r="123" spans="1:5" x14ac:dyDescent="0.25">
      <c r="A123" t="s">
        <v>10</v>
      </c>
      <c r="B123">
        <v>0.74099999999999999</v>
      </c>
      <c r="C123">
        <v>29.3</v>
      </c>
      <c r="E123" s="2">
        <f>(B123^3/C123)*100</f>
        <v>1.3886314709897614</v>
      </c>
    </row>
    <row r="124" spans="1:5" x14ac:dyDescent="0.25">
      <c r="A124" t="s">
        <v>81</v>
      </c>
      <c r="B124">
        <v>0.71899999999999997</v>
      </c>
      <c r="C124">
        <v>16.7</v>
      </c>
      <c r="E124" s="2">
        <f>(B124^3/C124)*100</f>
        <v>2.2257183173652697</v>
      </c>
    </row>
    <row r="125" spans="1:5" x14ac:dyDescent="0.25">
      <c r="A125" t="s">
        <v>119</v>
      </c>
      <c r="B125">
        <v>0.82399999999999995</v>
      </c>
      <c r="C125">
        <v>33.299999999999997</v>
      </c>
      <c r="E125" s="2">
        <f>(B125^3/C125)*100</f>
        <v>1.6801087807807806</v>
      </c>
    </row>
    <row r="126" spans="1:5" x14ac:dyDescent="0.25">
      <c r="A126" t="s">
        <v>95</v>
      </c>
      <c r="B126">
        <v>0.80400000000000005</v>
      </c>
      <c r="C126">
        <v>23.9</v>
      </c>
      <c r="E126" s="2">
        <f>(B126^3/C126)*100</f>
        <v>2.1745542426778246</v>
      </c>
    </row>
    <row r="127" spans="1:5" x14ac:dyDescent="0.25">
      <c r="A127" t="s">
        <v>54</v>
      </c>
      <c r="B127">
        <v>0.71699999999999997</v>
      </c>
      <c r="C127">
        <v>30.5</v>
      </c>
      <c r="E127" s="2">
        <f>(B127^3/C127)*100</f>
        <v>1.2085305344262294</v>
      </c>
    </row>
    <row r="128" spans="1:5" x14ac:dyDescent="0.25">
      <c r="A128" t="s">
        <v>120</v>
      </c>
      <c r="B128">
        <v>0.81399999999999995</v>
      </c>
      <c r="C128">
        <v>27</v>
      </c>
      <c r="E128" s="2">
        <f>(B128^3/C128)*100</f>
        <v>1.9976042370370366</v>
      </c>
    </row>
    <row r="129" spans="1:5" x14ac:dyDescent="0.25">
      <c r="A129" t="s">
        <v>94</v>
      </c>
      <c r="B129">
        <v>0.78900000000000003</v>
      </c>
      <c r="C129">
        <v>26.9</v>
      </c>
      <c r="E129" s="2">
        <f>(B129^3/C129)*100</f>
        <v>1.8259073197026028</v>
      </c>
    </row>
    <row r="130" spans="1:5" x14ac:dyDescent="0.25">
      <c r="A130" t="s">
        <v>112</v>
      </c>
      <c r="B130">
        <v>0.745</v>
      </c>
      <c r="C130">
        <v>19.5</v>
      </c>
      <c r="E130" s="2">
        <f>(B130^3/C130)*100</f>
        <v>2.120480128205128</v>
      </c>
    </row>
    <row r="131" spans="1:5" x14ac:dyDescent="0.25">
      <c r="A131" t="s">
        <v>50</v>
      </c>
      <c r="B131">
        <v>0.79800000000000004</v>
      </c>
      <c r="C131">
        <v>29.9</v>
      </c>
      <c r="D131" t="s">
        <v>158</v>
      </c>
      <c r="E131" s="2">
        <f>(B131^3/C131)*100</f>
        <v>1.6995638528428094</v>
      </c>
    </row>
    <row r="132" spans="1:5" x14ac:dyDescent="0.25">
      <c r="A132" t="s">
        <v>58</v>
      </c>
      <c r="B132">
        <v>0.84099999999999997</v>
      </c>
      <c r="C132">
        <v>20.2</v>
      </c>
      <c r="E132" s="2">
        <f>(B132^3/C132)*100</f>
        <v>2.9446699059405939</v>
      </c>
    </row>
    <row r="133" spans="1:5" x14ac:dyDescent="0.25">
      <c r="A133" t="s">
        <v>134</v>
      </c>
      <c r="B133">
        <v>0.79400000000000004</v>
      </c>
      <c r="C133">
        <v>21</v>
      </c>
      <c r="E133" s="2">
        <f>(B133^3/C133)*100</f>
        <v>2.3836484952380959</v>
      </c>
    </row>
    <row r="134" spans="1:5" x14ac:dyDescent="0.25">
      <c r="A134" t="s">
        <v>111</v>
      </c>
      <c r="B134">
        <v>0.81200000000000006</v>
      </c>
      <c r="C134">
        <v>24.8</v>
      </c>
      <c r="E134" s="2">
        <f>(B134^3/C134)*100</f>
        <v>2.1588198709677422</v>
      </c>
    </row>
    <row r="135" spans="1:5" x14ac:dyDescent="0.25">
      <c r="A135" t="s">
        <v>31</v>
      </c>
      <c r="B135">
        <v>0.71699999999999997</v>
      </c>
      <c r="C135">
        <v>20.6</v>
      </c>
      <c r="E135" s="2">
        <f>(B135^3/C135)*100</f>
        <v>1.7893291893203882</v>
      </c>
    </row>
    <row r="136" spans="1:5" x14ac:dyDescent="0.25">
      <c r="A136" t="s">
        <v>142</v>
      </c>
      <c r="B136">
        <v>0.66300000000000003</v>
      </c>
      <c r="C136">
        <v>25.1</v>
      </c>
      <c r="E136" s="2">
        <f>(B136^3/C136)*100</f>
        <v>1.1610926175298806</v>
      </c>
    </row>
    <row r="137" spans="1:5" x14ac:dyDescent="0.25">
      <c r="A137" t="s">
        <v>15</v>
      </c>
      <c r="B137">
        <v>0.67400000000000004</v>
      </c>
      <c r="C137">
        <v>24.2</v>
      </c>
      <c r="E137" s="2">
        <f>(B137^3/C137)*100</f>
        <v>1.2652149752066117</v>
      </c>
    </row>
    <row r="138" spans="1:5" x14ac:dyDescent="0.25">
      <c r="A138" t="s">
        <v>143</v>
      </c>
      <c r="B138">
        <v>0.71799999999999997</v>
      </c>
      <c r="C138">
        <v>30.5</v>
      </c>
      <c r="E138" s="2">
        <f>(B138^3/C138)*100</f>
        <v>1.2135942032786884</v>
      </c>
    </row>
    <row r="139" spans="1:5" x14ac:dyDescent="0.25">
      <c r="A139" t="s">
        <v>8</v>
      </c>
      <c r="B139">
        <v>0.79200000000000004</v>
      </c>
      <c r="C139">
        <v>23.8</v>
      </c>
      <c r="E139" s="2">
        <f>(B139^3/C139)*100</f>
        <v>2.0873659159663869</v>
      </c>
    </row>
    <row r="140" spans="1:5" x14ac:dyDescent="0.25">
      <c r="A140" t="s">
        <v>105</v>
      </c>
      <c r="B140">
        <v>0.79900000000000004</v>
      </c>
      <c r="C140">
        <v>9.6</v>
      </c>
      <c r="D140" t="s">
        <v>148</v>
      </c>
      <c r="E140" s="2">
        <f>(B140^3/C140)*100</f>
        <v>5.3133583229166677</v>
      </c>
    </row>
    <row r="141" spans="1:5" x14ac:dyDescent="0.25">
      <c r="A141" t="s">
        <v>88</v>
      </c>
      <c r="B141">
        <v>0.67300000000000004</v>
      </c>
      <c r="C141">
        <v>19.600000000000001</v>
      </c>
      <c r="E141" s="2">
        <f>(B141^3/C141)*100</f>
        <v>1.5552102908163268</v>
      </c>
    </row>
    <row r="142" spans="1:5" x14ac:dyDescent="0.25">
      <c r="A142" t="s">
        <v>107</v>
      </c>
      <c r="B142">
        <v>0.85199999999999998</v>
      </c>
      <c r="C142">
        <v>23.9</v>
      </c>
      <c r="D142" t="s">
        <v>170</v>
      </c>
      <c r="E142" s="2">
        <f>(B142^3/C142)*100</f>
        <v>2.5877414560669458</v>
      </c>
    </row>
    <row r="143" spans="1:5" x14ac:dyDescent="0.25">
      <c r="A143" t="s">
        <v>33</v>
      </c>
      <c r="B143">
        <v>0.82499999999999996</v>
      </c>
      <c r="C143">
        <v>32.9</v>
      </c>
      <c r="E143" s="2">
        <f>(B143^3/C143)*100</f>
        <v>1.7067344224924013</v>
      </c>
    </row>
    <row r="144" spans="1:5" x14ac:dyDescent="0.25">
      <c r="A144" t="s">
        <v>122</v>
      </c>
      <c r="B144">
        <v>0.73599999999999999</v>
      </c>
      <c r="C144">
        <v>19</v>
      </c>
      <c r="E144" s="2">
        <f>(B144^3/C144)*100</f>
        <v>2.0983592421052628</v>
      </c>
    </row>
    <row r="145" spans="1:5" x14ac:dyDescent="0.25">
      <c r="A145" t="s">
        <v>63</v>
      </c>
      <c r="B145">
        <v>0.79500000000000004</v>
      </c>
      <c r="C145">
        <v>29.2</v>
      </c>
      <c r="E145" s="2">
        <f>(B145^3/C145)*100</f>
        <v>1.7207529965753428</v>
      </c>
    </row>
  </sheetData>
  <sortState xmlns:xlrd2="http://schemas.microsoft.com/office/spreadsheetml/2017/richdata2" ref="Y51:AC59">
    <sortCondition ref="AC51:AC5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7516-436F-457C-B3DD-0249473FE73C}">
  <dimension ref="A1"/>
  <sheetViews>
    <sheetView zoomScale="99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Whiff % vs OPS</vt:lpstr>
      <vt:lpstr>New 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Pascarella</cp:lastModifiedBy>
  <dcterms:created xsi:type="dcterms:W3CDTF">2025-11-12T04:45:08Z</dcterms:created>
  <dcterms:modified xsi:type="dcterms:W3CDTF">2025-11-12T05:29:20Z</dcterms:modified>
</cp:coreProperties>
</file>